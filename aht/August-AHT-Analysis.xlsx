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ssumptions" sheetId="2" state="visible" r:id="rId2"/>
    <sheet name="Per-task detail" sheetId="3" state="visible" r:id="rId3"/>
    <sheet name="AHT by contributor" sheetId="4" state="visible" r:id="rId4"/>
    <sheet name="Method and queries" sheetId="5" state="visible" r:id="rId5"/>
    <sheet name="Checks" sheetId="6" state="visible" r:id="rId6"/>
  </sheets>
  <definedNames/>
  <calcPr calcId="124519" fullCalcOnLoad="1"/>
</workbook>
</file>

<file path=xl/styles.xml><?xml version="1.0" encoding="utf-8"?>
<styleSheet xmlns="http://schemas.openxmlformats.org/spreadsheetml/2006/main">
  <numFmts count="5">
    <numFmt numFmtId="164" formatCode="0.00;-0.00;-"/>
    <numFmt numFmtId="165" formatCode="$#,##0;($#,##0);-"/>
    <numFmt numFmtId="166" formatCode="#,##0.0"/>
    <numFmt numFmtId="167" formatCode="0.0%"/>
    <numFmt numFmtId="168" formatCode="$#,##0.00;($#,##0.00);-"/>
  </numFmts>
  <fonts count="23">
    <font>
      <name val="Calibri"/>
      <family val="2"/>
      <color theme="1"/>
      <sz val="11"/>
      <scheme val="minor"/>
    </font>
    <font>
      <name val="Arial"/>
      <b val="1"/>
      <color rgb="001F2933"/>
      <sz val="17"/>
    </font>
    <font>
      <name val="Arial"/>
      <color rgb="006B7A88"/>
      <sz val="11"/>
    </font>
    <font>
      <name val="Arial"/>
      <b val="1"/>
      <color rgb="001F3B54"/>
      <sz val="9"/>
    </font>
    <font>
      <name val="Arial"/>
      <color rgb="001F2933"/>
      <sz val="10"/>
    </font>
    <font>
      <name val="Arial"/>
      <b val="1"/>
      <color rgb="001F2933"/>
      <sz val="12"/>
    </font>
    <font>
      <name val="Arial"/>
      <color rgb="006B7A88"/>
      <sz val="9"/>
    </font>
    <font>
      <name val="Arial"/>
      <b val="1"/>
      <color rgb="001F2933"/>
      <sz val="10"/>
    </font>
    <font>
      <name val="Arial"/>
      <b val="1"/>
      <color rgb="00C2551F"/>
      <sz val="9"/>
    </font>
    <font>
      <name val="Arial"/>
      <b val="1"/>
      <color rgb="001F2933"/>
      <sz val="15"/>
    </font>
    <font>
      <name val="Arial"/>
      <i val="1"/>
      <color rgb="006B7A88"/>
      <sz val="9"/>
    </font>
    <font>
      <name val="Arial"/>
      <b val="1"/>
      <color rgb="00FFFFFF"/>
      <sz val="9"/>
    </font>
    <font>
      <name val="Arial"/>
      <b val="1"/>
      <color rgb="000000FF"/>
      <sz val="11"/>
    </font>
    <font>
      <name val="Arial"/>
      <b val="1"/>
      <color rgb="001F2933"/>
      <sz val="11"/>
    </font>
    <font>
      <name val="Arial"/>
      <color rgb="006B7A88"/>
      <sz val="8"/>
    </font>
    <font>
      <name val="Arial"/>
      <b val="1"/>
      <color rgb="000000FF"/>
      <sz val="10"/>
    </font>
    <font>
      <name val="Arial"/>
      <color rgb="006B7A88"/>
      <sz val="10"/>
    </font>
    <font>
      <name val="Arial"/>
      <b val="1"/>
      <color rgb="00008000"/>
      <sz val="11"/>
    </font>
    <font>
      <name val="Arial"/>
      <color rgb="00008000"/>
      <sz val="10"/>
    </font>
    <font>
      <name val="Arial"/>
      <color rgb="000000FF"/>
      <sz val="10"/>
    </font>
    <font>
      <name val="Arial"/>
      <b val="1"/>
      <color rgb="00C2551F"/>
      <sz val="10"/>
    </font>
    <font>
      <name val="Consolas"/>
      <color rgb="0024343F"/>
      <sz val="8.5"/>
    </font>
    <font>
      <name val="Arial"/>
      <b val="1"/>
      <color rgb="00C2551F"/>
      <sz val="11"/>
    </font>
  </fonts>
  <fills count="6">
    <fill>
      <patternFill/>
    </fill>
    <fill>
      <patternFill patternType="gray125"/>
    </fill>
    <fill>
      <patternFill patternType="solid">
        <fgColor rgb="001F3B54"/>
      </patternFill>
    </fill>
    <fill>
      <patternFill patternType="solid">
        <fgColor rgb="00FFFF00"/>
      </patternFill>
    </fill>
    <fill>
      <patternFill patternType="solid">
        <fgColor rgb="00EDF2F6"/>
      </patternFill>
    </fill>
    <fill>
      <patternFill patternType="solid">
        <fgColor rgb="00F5F7F9"/>
      </patternFill>
    </fill>
  </fills>
  <borders count="3">
    <border>
      <left/>
      <right/>
      <top/>
      <bottom/>
      <diagonal/>
    </border>
    <border>
      <left style="thin">
        <color rgb="00C9D3DB"/>
      </left>
      <right style="thin">
        <color rgb="00C9D3DB"/>
      </right>
      <top style="thin">
        <color rgb="00C9D3DB"/>
      </top>
      <bottom style="thin">
        <color rgb="00C9D3DB"/>
      </bottom>
    </border>
    <border>
      <top style="medium">
        <color rgb="001F3B54"/>
      </top>
    </border>
  </borders>
  <cellStyleXfs count="1">
    <xf numFmtId="0" fontId="0" fillId="0" borderId="0"/>
  </cellStyleXfs>
  <cellXfs count="6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164" fontId="5" fillId="0" borderId="0" pivotButton="0" quotePrefix="0" xfId="0"/>
    <xf numFmtId="0" fontId="6" fillId="0" borderId="0" pivotButton="0" quotePrefix="0" xfId="0"/>
    <xf numFmtId="165" fontId="5"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vertical="top" wrapText="1"/>
    </xf>
    <xf numFmtId="0" fontId="11" fillId="2" borderId="0" applyAlignment="1" pivotButton="0" quotePrefix="0" xfId="0">
      <alignment horizontal="left" vertical="bottom" wrapText="1"/>
    </xf>
    <xf numFmtId="0" fontId="11" fillId="2" borderId="0" applyAlignment="1" pivotButton="0" quotePrefix="0" xfId="0">
      <alignment horizontal="right" vertical="bottom" wrapText="1"/>
    </xf>
    <xf numFmtId="166" fontId="12" fillId="3" borderId="1" pivotButton="0" quotePrefix="0" xfId="0"/>
    <xf numFmtId="0" fontId="6" fillId="0" borderId="0" applyAlignment="1" pivotButton="0" quotePrefix="0" xfId="0">
      <alignment vertical="top" wrapText="1"/>
    </xf>
    <xf numFmtId="167" fontId="13" fillId="3" borderId="1" pivotButton="0" quotePrefix="0" xfId="0"/>
    <xf numFmtId="2" fontId="13" fillId="3" borderId="1" pivotButton="0" quotePrefix="0" xfId="0"/>
    <xf numFmtId="168" fontId="12" fillId="3" borderId="1" pivotButton="0" quotePrefix="0" xfId="0"/>
    <xf numFmtId="0" fontId="13" fillId="0" borderId="0" pivotButton="0" quotePrefix="0" xfId="0"/>
    <xf numFmtId="0" fontId="14" fillId="0" borderId="0" pivotButton="0" quotePrefix="0" xfId="0"/>
    <xf numFmtId="164" fontId="15" fillId="0" borderId="0" pivotButton="0" quotePrefix="0" xfId="0"/>
    <xf numFmtId="4" fontId="16" fillId="0" borderId="0" pivotButton="0" quotePrefix="0" xfId="0"/>
    <xf numFmtId="0" fontId="16" fillId="0" borderId="0" pivotButton="0" quotePrefix="0" xfId="0"/>
    <xf numFmtId="168" fontId="4" fillId="0" borderId="0" pivotButton="0" quotePrefix="0" xfId="0"/>
    <xf numFmtId="165" fontId="16" fillId="0" borderId="0" pivotButton="0" quotePrefix="0" xfId="0"/>
    <xf numFmtId="164" fontId="17" fillId="0" borderId="0" pivotButton="0" quotePrefix="0" xfId="0"/>
    <xf numFmtId="3" fontId="18" fillId="0" borderId="0" pivotButton="0" quotePrefix="0" xfId="0"/>
    <xf numFmtId="166" fontId="19" fillId="0" borderId="0" pivotButton="0" quotePrefix="0" xfId="0"/>
    <xf numFmtId="165" fontId="4" fillId="0" borderId="0" pivotButton="0" quotePrefix="0" xfId="0"/>
    <xf numFmtId="0" fontId="16" fillId="4" borderId="0" pivotButton="0" quotePrefix="0" xfId="0"/>
    <xf numFmtId="0" fontId="7" fillId="4" borderId="0" pivotButton="0" quotePrefix="0" xfId="0"/>
    <xf numFmtId="0" fontId="6" fillId="4" borderId="0" pivotButton="0" quotePrefix="0" xfId="0"/>
    <xf numFmtId="164" fontId="17" fillId="4" borderId="0" pivotButton="0" quotePrefix="0" xfId="0"/>
    <xf numFmtId="3" fontId="18" fillId="4" borderId="0" pivotButton="0" quotePrefix="0" xfId="0"/>
    <xf numFmtId="166" fontId="19" fillId="4" borderId="0" pivotButton="0" quotePrefix="0" xfId="0"/>
    <xf numFmtId="165" fontId="4" fillId="4" borderId="0" pivotButton="0" quotePrefix="0" xfId="0"/>
    <xf numFmtId="0" fontId="10" fillId="0" borderId="0" applyAlignment="1" pivotButton="0" quotePrefix="0" xfId="0">
      <alignment horizontal="left"/>
    </xf>
    <xf numFmtId="0" fontId="16" fillId="0" borderId="0" applyAlignment="1" pivotButton="0" quotePrefix="0" xfId="0">
      <alignment horizontal="right"/>
    </xf>
    <xf numFmtId="0" fontId="0" fillId="0" borderId="2" pivotButton="0" quotePrefix="0" xfId="0"/>
    <xf numFmtId="0" fontId="7" fillId="0" borderId="2" pivotButton="0" quotePrefix="0" xfId="0"/>
    <xf numFmtId="164" fontId="7" fillId="0" borderId="2" pivotButton="0" quotePrefix="0" xfId="0"/>
    <xf numFmtId="3" fontId="7" fillId="0" borderId="2" pivotButton="0" quotePrefix="0" xfId="0"/>
    <xf numFmtId="166" fontId="7" fillId="0" borderId="2" pivotButton="0" quotePrefix="0" xfId="0"/>
    <xf numFmtId="165" fontId="7" fillId="0" borderId="2" pivotButton="0" quotePrefix="0" xfId="0"/>
    <xf numFmtId="0" fontId="5" fillId="0" borderId="0" pivotButton="0" quotePrefix="0" xfId="0"/>
    <xf numFmtId="0" fontId="4" fillId="0" borderId="0" applyAlignment="1" pivotButton="0" quotePrefix="0" xfId="0">
      <alignment vertical="top" wrapText="1"/>
    </xf>
    <xf numFmtId="0" fontId="20" fillId="0" borderId="0" applyAlignment="1" pivotButton="0" quotePrefix="0" xfId="0">
      <alignment vertical="top" wrapText="1"/>
    </xf>
    <xf numFmtId="0" fontId="21" fillId="5" borderId="1" applyAlignment="1" pivotButton="0" quotePrefix="0" xfId="0">
      <alignment vertical="top"/>
    </xf>
    <xf numFmtId="3" fontId="13" fillId="0" borderId="0" pivotButton="0" quotePrefix="0" xfId="0"/>
    <xf numFmtId="3" fontId="19" fillId="0" borderId="0" pivotButton="0" quotePrefix="0" xfId="0"/>
    <xf numFmtId="164" fontId="13" fillId="0" borderId="0" pivotButton="0" quotePrefix="0" xfId="0"/>
    <xf numFmtId="164" fontId="19" fillId="0" borderId="0" pivotButton="0" quotePrefix="0" xfId="0"/>
    <xf numFmtId="166" fontId="13" fillId="0" borderId="0" pivotButton="0" quotePrefix="0" xfId="0"/>
    <xf numFmtId="166" fontId="12" fillId="0" borderId="0" pivotButton="0" quotePrefix="0" xfId="0"/>
    <xf numFmtId="167" fontId="13" fillId="0" borderId="0" pivotButton="0" quotePrefix="0" xfId="0"/>
    <xf numFmtId="167" fontId="19" fillId="0" borderId="0" pivotButton="0" quotePrefix="0" xfId="0"/>
    <xf numFmtId="165" fontId="12" fillId="0" borderId="0" pivotButton="0" quotePrefix="0" xfId="0"/>
    <xf numFmtId="165" fontId="19" fillId="0" borderId="0" pivotButton="0" quotePrefix="0" xfId="0"/>
    <xf numFmtId="168" fontId="13" fillId="0" borderId="0" pivotButton="0" quotePrefix="0" xfId="0"/>
    <xf numFmtId="168" fontId="19"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65"/>
  <sheetViews>
    <sheetView showGridLines="0" workbookViewId="0">
      <selection activeCell="A1" sqref="A1"/>
    </sheetView>
  </sheetViews>
  <sheetFormatPr baseColWidth="8" defaultRowHeight="15"/>
  <cols>
    <col width="3" customWidth="1" min="1" max="1"/>
    <col width="30" customWidth="1" min="2" max="2"/>
    <col width="15" customWidth="1" min="3" max="3"/>
    <col width="15" customWidth="1" min="4" max="4"/>
    <col width="15" customWidth="1" min="5" max="5"/>
    <col width="15" customWidth="1" min="6" max="6"/>
    <col width="34" customWidth="1" min="7" max="7"/>
  </cols>
  <sheetData>
    <row r="2">
      <c r="B2" s="1" t="inlineStr">
        <is>
          <t>August 2026 AHT — prompt-only taskers</t>
        </is>
      </c>
    </row>
    <row r="3">
      <c r="B3" s="2" t="inlineStr">
        <is>
          <t>Average handle time, the contributor list, and the whole method behind it</t>
        </is>
      </c>
    </row>
    <row r="5">
      <c r="B5" s="3" t="inlineStr">
        <is>
          <t>THE ANSWER</t>
        </is>
      </c>
    </row>
    <row r="6">
      <c r="B6" s="4" t="inlineStr">
        <is>
          <t>Median AHT — handle time (h)</t>
        </is>
      </c>
      <c r="C6" s="5">
        <f>'Checks'!C8</f>
      </c>
      <c r="F6" s="6" t="inlineStr">
        <is>
          <t>Paid time really spent on a finished task</t>
        </is>
      </c>
    </row>
    <row r="7">
      <c r="B7" s="4" t="inlineStr">
        <is>
          <t>Mean AHT — handle time (h)</t>
        </is>
      </c>
      <c r="C7" s="5">
        <f>'Checks'!C7</f>
      </c>
      <c r="F7" s="6" t="inlineStr">
        <is>
          <t>Pulled up by a long right tail</t>
        </is>
      </c>
    </row>
    <row r="8">
      <c r="B8" s="4" t="inlineStr">
        <is>
          <t>Median cost per task</t>
        </is>
      </c>
      <c r="C8" s="7">
        <f>'Checks'!C8*Assumptions!C10</f>
      </c>
      <c r="F8" s="6" t="inlineStr">
        <is>
          <t>At the blended rate</t>
        </is>
      </c>
    </row>
    <row r="9">
      <c r="B9" s="4" t="inlineStr">
        <is>
          <t>Loaded hours per finished task</t>
        </is>
      </c>
      <c r="C9" s="5">
        <f>Assumptions!C9</f>
      </c>
      <c r="F9" s="6" t="inlineStr">
        <is>
          <t>All paid hours / tasks finished — use this to budget</t>
        </is>
      </c>
    </row>
    <row r="10">
      <c r="B10" s="4" t="inlineStr">
        <is>
          <t>Loaded cost per finished task</t>
        </is>
      </c>
      <c r="C10" s="7">
        <f>Assumptions!C9*Assumptions!C10</f>
      </c>
      <c r="F10" s="6" t="inlineStr">
        <is>
          <t>What a finished task really costs</t>
        </is>
      </c>
    </row>
    <row r="12">
      <c r="B12" s="3" t="inlineStr">
        <is>
          <t>SCOPE</t>
        </is>
      </c>
    </row>
    <row r="13">
      <c r="B13" s="4" t="inlineStr">
        <is>
          <t>Project: sheets. Role: exactly prompt_tasker — nobody in this workbook holds a second role.</t>
        </is>
      </c>
    </row>
    <row r="14">
      <c r="B14" s="4" t="inlineStr">
        <is>
          <t>Ali Mallick is excluded at the owner's request; their 4 tasks and 19.8 August hours are out of</t>
        </is>
      </c>
    </row>
    <row r="15">
      <c r="B15" s="4" t="inlineStr">
        <is>
          <t>every figure here, including the calibration.</t>
        </is>
      </c>
    </row>
    <row r="16">
      <c r="B16" s="4" t="inlineStr">
        <is>
          <t>Period: every task whose FIRST arrival in the audit state fell in August 2026, Eastern time.</t>
        </is>
      </c>
    </row>
    <row r="17">
      <c r="B17" s="4" t="inlineStr">
        <is>
          <t>Population: 59 people — 48 credited with at least one such task, 11 who booked August hours</t>
        </is>
      </c>
    </row>
    <row r="18">
      <c r="B18" s="4" t="inlineStr">
        <is>
          <t>but were never credited with one.</t>
        </is>
      </c>
    </row>
    <row r="19">
      <c r="B19" s="4" t="inlineStr">
        <is>
          <t>A task in audit counts as done. That is the sheets convention, not a choice made here.</t>
        </is>
      </c>
    </row>
    <row r="21">
      <c r="B21" s="3" t="inlineStr">
        <is>
          <t>WHAT'S IN EACH TAB</t>
        </is>
      </c>
    </row>
    <row r="22">
      <c r="B22" s="8" t="inlineStr">
        <is>
          <t>Assumptions</t>
        </is>
      </c>
      <c r="C22" s="4" t="inlineStr">
        <is>
          <t>The three levers. Change one and every number in the workbook moves.</t>
        </is>
      </c>
    </row>
    <row r="23">
      <c r="B23" s="8" t="inlineStr">
        <is>
          <t>AHT by contributor</t>
        </is>
      </c>
      <c r="C23" s="4" t="inlineStr">
        <is>
          <t>The 60-person list, sorted fastest to slowest on median AHT.</t>
        </is>
      </c>
    </row>
    <row r="24">
      <c r="B24" s="8" t="inlineStr">
        <is>
          <t>Per-task detail</t>
        </is>
      </c>
      <c r="C24" s="4" t="inlineStr">
        <is>
          <t>All 905 tasks, one row each. This is the raw material everything else reads.</t>
        </is>
      </c>
    </row>
    <row r="25">
      <c r="B25" s="8" t="inlineStr">
        <is>
          <t>Method and queries</t>
        </is>
      </c>
      <c r="C25" s="4" t="inlineStr">
        <is>
          <t>The six steps, each with the SQL that produced it.</t>
        </is>
      </c>
    </row>
    <row r="26">
      <c r="B26" s="8" t="inlineStr">
        <is>
          <t>Checks</t>
        </is>
      </c>
      <c r="C26" s="4" t="inlineStr">
        <is>
          <t>The reconciliations that say the answer is sound, plus known weak points.</t>
        </is>
      </c>
    </row>
    <row r="28">
      <c r="B28" s="3" t="inlineStr">
        <is>
          <t>HOW THE TIME IS MEASURED — IN PLAIN ENGLISH</t>
        </is>
      </c>
    </row>
    <row r="29">
      <c r="B29" s="4" t="inlineStr">
        <is>
          <t>The platform stores no per-task timer, and payable time is recorded against the PROJECT, not</t>
        </is>
      </c>
    </row>
    <row r="30">
      <c r="B30" s="4" t="inlineStr">
        <is>
          <t>against a task — there is no task id anywhere on the payable-time tables. So a task's time has to</t>
        </is>
      </c>
    </row>
    <row r="31">
      <c r="B31" s="4" t="inlineStr">
        <is>
          <t>be reconstructed. Two records make that possible:</t>
        </is>
      </c>
    </row>
    <row r="32">
      <c r="B32" s="4" t="inlineStr"/>
    </row>
    <row r="33">
      <c r="B33" s="4" t="inlineStr">
        <is>
          <t xml:space="preserve">   the CLAIM            — this person held this task from this moment to that one</t>
        </is>
      </c>
    </row>
    <row r="34">
      <c r="B34" s="4" t="inlineStr">
        <is>
          <t xml:space="preserve">   the PAYABLE SEGMENT  — this person was clocked in and approved for pay over this window</t>
        </is>
      </c>
    </row>
    <row r="35">
      <c r="B35" s="4" t="inlineStr"/>
    </row>
    <row r="36">
      <c r="B36" s="4" t="inlineStr">
        <is>
          <t>Intersect them. A paid minute falling inside a claim window on task X is a minute spent on task X.</t>
        </is>
      </c>
    </row>
    <row r="37">
      <c r="B37" s="4" t="inlineStr">
        <is>
          <t>Sum those minutes across every claim the credited person ever had on the task, so a task that went</t>
        </is>
      </c>
    </row>
    <row r="38">
      <c r="B38" s="4" t="inlineStr">
        <is>
          <t>out for review and came back for a redo picks up all of its rounds.</t>
        </is>
      </c>
    </row>
    <row r="39">
      <c r="B39" s="4" t="inlineStr"/>
    </row>
    <row r="40">
      <c r="B40" s="4" t="inlineStr">
        <is>
          <t>Waiting is correctly excluded. Between rounds the task is not claimed and the person is not clocked</t>
        </is>
      </c>
    </row>
    <row r="41">
      <c r="B41" s="4" t="inlineStr">
        <is>
          <t>in on it, so days sitting in review add nothing to AHT. That is elapsed cycle time — a different</t>
        </is>
      </c>
    </row>
    <row r="42">
      <c r="B42" s="4" t="inlineStr">
        <is>
          <t>measure, and not what AHT is for.</t>
        </is>
      </c>
    </row>
    <row r="43">
      <c r="B43" s="4" t="inlineStr"/>
    </row>
    <row r="44">
      <c r="B44" s="4" t="inlineStr">
        <is>
          <t>If a person had two tasks claimed in the same minute, that minute is split between them in</t>
        </is>
      </c>
    </row>
    <row r="45">
      <c r="B45" s="4" t="inlineStr">
        <is>
          <t>proportion to overlap, so nothing is double-counted and the parts never exceed what was paid.</t>
        </is>
      </c>
    </row>
    <row r="46">
      <c r="B46" s="4" t="inlineStr"/>
    </row>
    <row r="47">
      <c r="B47" s="4" t="inlineStr">
        <is>
          <t>Cohort-wide, 801.7 of 1,769.3 paid August hours (45.3%) land on tasks that reached audit in August.</t>
        </is>
      </c>
    </row>
    <row r="48">
      <c r="B48" s="4" t="inlineStr">
        <is>
          <t>The rest went to tasks that finished in another month or never, to tasks credited to someone else,</t>
        </is>
      </c>
    </row>
    <row r="49">
      <c r="B49" s="4" t="inlineStr">
        <is>
          <t>to calibration and onboarding, and to clocked time with nothing claimed. Hence two numbers, both on</t>
        </is>
      </c>
    </row>
    <row r="50">
      <c r="B50" s="4" t="inlineStr">
        <is>
          <t>the Assumptions tab:</t>
        </is>
      </c>
    </row>
    <row r="51">
      <c r="B51" s="4" t="inlineStr"/>
    </row>
    <row r="52">
      <c r="B52" s="4" t="inlineStr">
        <is>
          <t xml:space="preserve">   HANDLE TIME   0.56h median, 0.89h mean   — paid time really spent on a task that finished</t>
        </is>
      </c>
    </row>
    <row r="53">
      <c r="B53" s="4" t="inlineStr">
        <is>
          <t xml:space="preserve">   LOADED TIME   1.96h per finished task    — all paid hours divided by tasks finished</t>
        </is>
      </c>
    </row>
    <row r="54">
      <c r="B54" s="4" t="inlineStr"/>
    </row>
    <row r="55">
      <c r="B55" s="4" t="inlineStr">
        <is>
          <t>Use handle time to compare people. Use loaded time to budget, because somebody pays for the work</t>
        </is>
      </c>
    </row>
    <row r="56">
      <c r="B56" s="4" t="inlineStr">
        <is>
          <t>that did not finish.</t>
        </is>
      </c>
    </row>
    <row r="58">
      <c r="B58" s="9" t="inlineStr">
        <is>
          <t>READ THE RANKING WITH CARE</t>
        </is>
      </c>
    </row>
    <row r="59">
      <c r="B59" s="4" t="inlineStr">
        <is>
          <t>Both ends of the sort are people with one to four credited tasks, where a single task</t>
        </is>
      </c>
    </row>
    <row r="60">
      <c r="B60" s="4" t="inlineStr">
        <is>
          <t>decides the whole ranking. Only 25 people cleared 10 tasks; inside that group the spread</t>
        </is>
      </c>
    </row>
    <row r="61">
      <c r="B61" s="4" t="inlineStr">
        <is>
          <t>is wide, and it is not the same order as the claim-based ranking — see the caution on that tab.</t>
        </is>
      </c>
    </row>
    <row r="62">
      <c r="B62" s="4" t="inlineStr">
        <is>
          <t>is the real finding. Anyone under about five tasks is listed for completeness, not judgement.</t>
        </is>
      </c>
    </row>
    <row r="64">
      <c r="B64" s="6" t="inlineStr">
        <is>
          <t>Source: tsip_prd via Metabase (database 2, read-only), queried 31 August 2026.</t>
        </is>
      </c>
    </row>
    <row r="65">
      <c r="B65" s="6" t="inlineStr">
        <is>
          <t>Conventions from projects/sheets/project.md. Blue cells are inputs you may change; black cells are formulas.</t>
        </is>
      </c>
    </row>
  </sheetData>
  <mergeCells count="5">
    <mergeCell ref="C24:G24"/>
    <mergeCell ref="C25:G25"/>
    <mergeCell ref="C23:G23"/>
    <mergeCell ref="C22:G22"/>
    <mergeCell ref="C26:G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E22"/>
  <sheetViews>
    <sheetView showGridLines="0" workbookViewId="0">
      <selection activeCell="A1" sqref="A1"/>
    </sheetView>
  </sheetViews>
  <sheetFormatPr baseColWidth="8" defaultRowHeight="15"/>
  <cols>
    <col width="3" customWidth="1" min="1" max="1"/>
    <col width="34" customWidth="1" min="2" max="2"/>
    <col width="14" customWidth="1" min="3" max="3"/>
    <col width="3" customWidth="1" min="4" max="4"/>
    <col width="62" customWidth="1" min="5" max="5"/>
    <col width="12" customWidth="1" min="6" max="6"/>
    <col width="12" customWidth="1" min="7" max="7"/>
  </cols>
  <sheetData>
    <row r="2">
      <c r="B2" s="10" t="inlineStr">
        <is>
          <t>Assumptions and levers</t>
        </is>
      </c>
    </row>
    <row r="3">
      <c r="B3" s="11" t="inlineStr">
        <is>
          <t>Yellow cells are the judgement calls. Change one and the whole workbook recalculates.</t>
        </is>
      </c>
    </row>
    <row r="5" ht="30" customHeight="1">
      <c r="A5" s="12" t="inlineStr"/>
      <c r="B5" s="12" t="inlineStr">
        <is>
          <t>Figure</t>
        </is>
      </c>
      <c r="C5" s="13" t="inlineStr">
        <is>
          <t>Value</t>
        </is>
      </c>
      <c r="D5" s="13" t="inlineStr"/>
      <c r="E5" s="13" t="inlineStr">
        <is>
          <t>What it is</t>
        </is>
      </c>
    </row>
    <row r="6" ht="34" customHeight="1">
      <c r="B6" s="8" t="inlineStr">
        <is>
          <t>Payable hours ON these tasks</t>
        </is>
      </c>
      <c r="C6" s="14" t="n">
        <v>801.7</v>
      </c>
      <c r="E6" s="15" t="inlineStr">
        <is>
          <t>Clocked, approved time that falls inside a claim window on one of the tasks that reached audit in August, for the person credited with it. This is what the AHT column adds up to.</t>
        </is>
      </c>
    </row>
    <row r="7" ht="34" customHeight="1">
      <c r="B7" s="8" t="inlineStr">
        <is>
          <t>Cohort payable hours, August</t>
        </is>
      </c>
      <c r="C7" s="14" t="n">
        <v>1769.3</v>
      </c>
      <c r="E7" s="15" t="inlineStr">
        <is>
          <t>Everything these people were paid for in August, whatever they were working on. From payable_time_revision_segments allocated to the day the work happened.</t>
        </is>
      </c>
    </row>
    <row r="8" ht="34" customHeight="1">
      <c r="B8" s="8" t="inlineStr">
        <is>
          <t>Share landing on these tasks</t>
        </is>
      </c>
      <c r="C8" s="16">
        <f>C6/C7</f>
        <v>0.4531170519414458</v>
      </c>
      <c r="E8" s="15" t="inlineStr">
        <is>
          <t>The rest went to tasks that reached audit in another month or not at all, to tasks credited to someone else, to calibration and onboarding, and to clocked time with no task claimed.</t>
        </is>
      </c>
    </row>
    <row r="9" ht="34" customHeight="1">
      <c r="B9" s="8" t="inlineStr">
        <is>
          <t>Loaded hours per finished task</t>
        </is>
      </c>
      <c r="C9" s="17">
        <f>C7/'Checks'!C6</f>
        <v>1.961529933481153</v>
      </c>
      <c r="E9" s="15" t="inlineStr">
        <is>
          <t>Cohort payable hours divided by tasks finished. THE COSTING NUMBER: somebody pays for the work that did not finish, so this is what a finished task really costs in time.</t>
        </is>
      </c>
    </row>
    <row r="10" ht="34" customHeight="1">
      <c r="B10" s="8" t="inlineStr">
        <is>
          <t>Blended rate ($/hour)</t>
        </is>
      </c>
      <c r="C10" s="18" t="n">
        <v>163.33</v>
      </c>
      <c r="E10" s="15" t="inlineStr">
        <is>
          <t>Cohort August cost divided by cohort August hours. Used for pooled cost figures; each person's own rate is used in their own row.</t>
        </is>
      </c>
    </row>
    <row r="12">
      <c r="B12" s="19" t="inlineStr">
        <is>
          <t>Two ways to read a task's time — both are here on purpose</t>
        </is>
      </c>
    </row>
    <row r="13">
      <c r="B13" s="4" t="inlineStr">
        <is>
          <t>HANDLE TIME (the AHT column): paid time actually spent on that task. Answers "how long does the work take".</t>
        </is>
      </c>
    </row>
    <row r="14">
      <c r="B14" s="4" t="inlineStr">
        <is>
          <t>LOADED TIME (the figure above): all paid time divided by tasks finished. Answers "what does a finished task cost".</t>
        </is>
      </c>
    </row>
    <row r="15">
      <c r="B15" s="4" t="inlineStr">
        <is>
          <t>Handle time is the smaller number because it excludes work on tasks that never finished. Use handle time to</t>
        </is>
      </c>
    </row>
    <row r="16">
      <c r="B16" s="4" t="inlineStr">
        <is>
          <t>compare people; use loaded time to budget.</t>
        </is>
      </c>
    </row>
    <row r="18">
      <c r="B18" s="19" t="inlineStr">
        <is>
          <t>Where a paid second goes when someone holds several tasks at once</t>
        </is>
      </c>
    </row>
    <row r="19">
      <c r="B19" s="4" t="inlineStr">
        <is>
          <t>A paid minute is matched to whichever task the person had claimed at that minute. If they had two tasks</t>
        </is>
      </c>
    </row>
    <row r="20">
      <c r="B20" s="4" t="inlineStr">
        <is>
          <t>claimed, the minute is split between them in proportion to the overlap, so no minute is counted twice and</t>
        </is>
      </c>
    </row>
    <row r="21">
      <c r="B21" s="4" t="inlineStr">
        <is>
          <t>the parts can never add up to more than they were paid. Someone who keeps many tasks open at once will</t>
        </is>
      </c>
    </row>
    <row r="22">
      <c r="B22" s="4" t="inlineStr">
        <is>
          <t>therefore show a low AHT per task — that is arithmetic, not speed.</t>
        </is>
      </c>
    </row>
  </sheetData>
  <mergeCells count="1">
    <mergeCell ref="B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0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8" customWidth="1" min="1" max="1"/>
    <col width="24" customWidth="1" min="2" max="2"/>
    <col width="30" customWidth="1" min="3" max="3"/>
    <col width="13" customWidth="1" min="4" max="4"/>
    <col width="13" customWidth="1" min="5" max="5"/>
    <col width="11" customWidth="1" min="6" max="6"/>
    <col width="13" customWidth="1" min="7" max="7"/>
    <col width="9" customWidth="1" min="8" max="8"/>
  </cols>
  <sheetData>
    <row r="1" ht="30" customHeight="1">
      <c r="A1" s="12" t="inlineStr">
        <is>
          <t>Task ID</t>
        </is>
      </c>
      <c r="B1" s="12" t="inlineStr">
        <is>
          <t>Contributor</t>
        </is>
      </c>
      <c r="C1" s="13" t="inlineStr">
        <is>
          <t>Email</t>
        </is>
      </c>
      <c r="D1" s="13" t="inlineStr">
        <is>
          <t>Payable hours on task</t>
        </is>
      </c>
      <c r="E1" s="13" t="inlineStr">
        <is>
          <t>Claim hours (capped 12h)</t>
        </is>
      </c>
      <c r="F1" s="13" t="inlineStr">
        <is>
          <t>Claims by contributor</t>
        </is>
      </c>
      <c r="G1" s="13" t="inlineStr">
        <is>
          <t>Cost at own rate ($)</t>
        </is>
      </c>
      <c r="H1" s="13" t="inlineStr">
        <is>
          <t>Rate ($/h)</t>
        </is>
      </c>
    </row>
    <row r="2">
      <c r="A2" s="20" t="inlineStr">
        <is>
          <t>4fb3c9ff-0b93-4811-89ff-79d2585ef82f</t>
        </is>
      </c>
      <c r="B2" s="4" t="inlineStr">
        <is>
          <t>Travis Crevasse</t>
        </is>
      </c>
      <c r="C2" s="6" t="inlineStr">
        <is>
          <t>travis.crevasse@gmail.com</t>
        </is>
      </c>
      <c r="D2" s="21" t="n">
        <v>0.1392</v>
      </c>
      <c r="E2" s="22" t="n">
        <v>12</v>
      </c>
      <c r="F2" s="23" t="n">
        <v>1</v>
      </c>
      <c r="G2" s="24">
        <f>D2*H2</f>
        <v>20.88</v>
      </c>
      <c r="H2" s="25" t="n">
        <v>150</v>
      </c>
    </row>
    <row r="3">
      <c r="A3" s="20" t="inlineStr">
        <is>
          <t>f4009a88-d44d-4679-ad7f-c383def3cb1c</t>
        </is>
      </c>
      <c r="B3" s="4" t="inlineStr">
        <is>
          <t>Charles Mack</t>
        </is>
      </c>
      <c r="C3" s="6" t="inlineStr">
        <is>
          <t>charliemack427@gmail.com</t>
        </is>
      </c>
      <c r="D3" s="21" t="n">
        <v>0.0183</v>
      </c>
      <c r="E3" s="22" t="n">
        <v>1.8628</v>
      </c>
      <c r="F3" s="23" t="n">
        <v>3</v>
      </c>
      <c r="G3" s="24">
        <f>D3*H3</f>
        <v>2.745</v>
      </c>
      <c r="H3" s="25" t="n">
        <v>150</v>
      </c>
    </row>
    <row r="4">
      <c r="A4" s="20" t="inlineStr">
        <is>
          <t>62868a44-47a7-4851-ba02-fb09f713ba26</t>
        </is>
      </c>
      <c r="B4" s="4" t="inlineStr">
        <is>
          <t>Charles Mack</t>
        </is>
      </c>
      <c r="C4" s="6" t="inlineStr">
        <is>
          <t>charliemack427@gmail.com</t>
        </is>
      </c>
      <c r="D4" s="21" t="n">
        <v>0.0198</v>
      </c>
      <c r="E4" s="22" t="n">
        <v>1.1639</v>
      </c>
      <c r="F4" s="23" t="n">
        <v>4</v>
      </c>
      <c r="G4" s="24">
        <f>D4*H4</f>
        <v>2.97</v>
      </c>
      <c r="H4" s="25" t="n">
        <v>150</v>
      </c>
    </row>
    <row r="5">
      <c r="A5" s="20" t="inlineStr">
        <is>
          <t>3d153bf7-b66f-4d0c-bfb9-1420fc1b3c6f</t>
        </is>
      </c>
      <c r="B5" s="4" t="inlineStr">
        <is>
          <t>Charles Mack</t>
        </is>
      </c>
      <c r="C5" s="6" t="inlineStr">
        <is>
          <t>charliemack427@gmail.com</t>
        </is>
      </c>
      <c r="D5" s="21" t="n">
        <v>0.0214</v>
      </c>
      <c r="E5" s="22" t="n">
        <v>12.5104</v>
      </c>
      <c r="F5" s="23" t="n">
        <v>4</v>
      </c>
      <c r="G5" s="24">
        <f>D5*H5</f>
        <v>3.21</v>
      </c>
      <c r="H5" s="25" t="n">
        <v>150</v>
      </c>
    </row>
    <row r="6">
      <c r="A6" s="20" t="inlineStr">
        <is>
          <t>a9576bd9-db34-4d6e-bc84-7a47834e13a2</t>
        </is>
      </c>
      <c r="B6" s="4" t="inlineStr">
        <is>
          <t>Charles Mack</t>
        </is>
      </c>
      <c r="C6" s="6" t="inlineStr">
        <is>
          <t>charliemack427@gmail.com</t>
        </is>
      </c>
      <c r="D6" s="21" t="n">
        <v>0.0248</v>
      </c>
      <c r="E6" s="22" t="n">
        <v>7.3604</v>
      </c>
      <c r="F6" s="23" t="n">
        <v>3</v>
      </c>
      <c r="G6" s="24">
        <f>D6*H6</f>
        <v>3.7199999999999998</v>
      </c>
      <c r="H6" s="25" t="n">
        <v>150</v>
      </c>
    </row>
    <row r="7">
      <c r="A7" s="20" t="inlineStr">
        <is>
          <t>9e11de46-03b3-4911-b00c-497aabb5e90b</t>
        </is>
      </c>
      <c r="B7" s="4" t="inlineStr">
        <is>
          <t>Charles Mack</t>
        </is>
      </c>
      <c r="C7" s="6" t="inlineStr">
        <is>
          <t>charliemack427@gmail.com</t>
        </is>
      </c>
      <c r="D7" s="21" t="n">
        <v>0.0289</v>
      </c>
      <c r="E7" s="22" t="n">
        <v>12.8573</v>
      </c>
      <c r="F7" s="23" t="n">
        <v>5</v>
      </c>
      <c r="G7" s="24">
        <f>D7*H7</f>
        <v>4.335</v>
      </c>
      <c r="H7" s="25" t="n">
        <v>150</v>
      </c>
    </row>
    <row r="8">
      <c r="A8" s="20" t="inlineStr">
        <is>
          <t>86bde633-207f-4477-b658-fd86c706717f</t>
        </is>
      </c>
      <c r="B8" s="4" t="inlineStr">
        <is>
          <t>Charles Mack</t>
        </is>
      </c>
      <c r="C8" s="6" t="inlineStr">
        <is>
          <t>charliemack427@gmail.com</t>
        </is>
      </c>
      <c r="D8" s="21" t="n">
        <v>0.0341</v>
      </c>
      <c r="E8" s="22" t="n">
        <v>2.0623</v>
      </c>
      <c r="F8" s="23" t="n">
        <v>3</v>
      </c>
      <c r="G8" s="24">
        <f>D8*H8</f>
        <v>5.114999999999999</v>
      </c>
      <c r="H8" s="25" t="n">
        <v>150</v>
      </c>
    </row>
    <row r="9">
      <c r="A9" s="20" t="inlineStr">
        <is>
          <t>c600fbd7-b089-4296-95ab-4157989fd51c</t>
        </is>
      </c>
      <c r="B9" s="4" t="inlineStr">
        <is>
          <t>Charles Mack</t>
        </is>
      </c>
      <c r="C9" s="6" t="inlineStr">
        <is>
          <t>charliemack427@gmail.com</t>
        </is>
      </c>
      <c r="D9" s="21" t="n">
        <v>0.0343</v>
      </c>
      <c r="E9" s="22" t="n">
        <v>11.3398</v>
      </c>
      <c r="F9" s="23" t="n">
        <v>3</v>
      </c>
      <c r="G9" s="24">
        <f>D9*H9</f>
        <v>5.145</v>
      </c>
      <c r="H9" s="25" t="n">
        <v>150</v>
      </c>
    </row>
    <row r="10">
      <c r="A10" s="20" t="inlineStr">
        <is>
          <t>d0ec83fc-626e-48f8-8d82-8fce22363cc3</t>
        </is>
      </c>
      <c r="B10" s="4" t="inlineStr">
        <is>
          <t>Charles Mack</t>
        </is>
      </c>
      <c r="C10" s="6" t="inlineStr">
        <is>
          <t>charliemack427@gmail.com</t>
        </is>
      </c>
      <c r="D10" s="21" t="n">
        <v>0.0693</v>
      </c>
      <c r="E10" s="22" t="n">
        <v>0.6301</v>
      </c>
      <c r="F10" s="23" t="n">
        <v>2</v>
      </c>
      <c r="G10" s="24">
        <f>D10*H10</f>
        <v>10.395</v>
      </c>
      <c r="H10" s="25" t="n">
        <v>150</v>
      </c>
    </row>
    <row r="11">
      <c r="A11" s="20" t="inlineStr">
        <is>
          <t>1d62b031-e5ec-4bcc-8717-8cfb66d6607b</t>
        </is>
      </c>
      <c r="B11" s="4" t="inlineStr">
        <is>
          <t>Charles Mack</t>
        </is>
      </c>
      <c r="C11" s="6" t="inlineStr">
        <is>
          <t>charliemack427@gmail.com</t>
        </is>
      </c>
      <c r="D11" s="21" t="n">
        <v>0.0963</v>
      </c>
      <c r="E11" s="22" t="n">
        <v>15.9171</v>
      </c>
      <c r="F11" s="23" t="n">
        <v>5</v>
      </c>
      <c r="G11" s="24">
        <f>D11*H11</f>
        <v>14.445</v>
      </c>
      <c r="H11" s="25" t="n">
        <v>150</v>
      </c>
    </row>
    <row r="12">
      <c r="A12" s="20" t="inlineStr">
        <is>
          <t>7ca41545-f90c-4a84-9c2c-7ac63cd975d2</t>
        </is>
      </c>
      <c r="B12" s="4" t="inlineStr">
        <is>
          <t>Charles Mack</t>
        </is>
      </c>
      <c r="C12" s="6" t="inlineStr">
        <is>
          <t>charliemack427@gmail.com</t>
        </is>
      </c>
      <c r="D12" s="21" t="n">
        <v>0.0998</v>
      </c>
      <c r="E12" s="22" t="n">
        <v>12.6143</v>
      </c>
      <c r="F12" s="23" t="n">
        <v>4</v>
      </c>
      <c r="G12" s="24">
        <f>D12*H12</f>
        <v>14.97</v>
      </c>
      <c r="H12" s="25" t="n">
        <v>150</v>
      </c>
    </row>
    <row r="13">
      <c r="A13" s="20" t="inlineStr">
        <is>
          <t>bb34b33e-55a2-43bd-92b7-e70d4f6bb0f2</t>
        </is>
      </c>
      <c r="B13" s="4" t="inlineStr">
        <is>
          <t>Charles Mack</t>
        </is>
      </c>
      <c r="C13" s="6" t="inlineStr">
        <is>
          <t>charliemack427@gmail.com</t>
        </is>
      </c>
      <c r="D13" s="21" t="n">
        <v>0.1159</v>
      </c>
      <c r="E13" s="22" t="n">
        <v>14.3098</v>
      </c>
      <c r="F13" s="23" t="n">
        <v>8</v>
      </c>
      <c r="G13" s="24">
        <f>D13*H13</f>
        <v>17.385</v>
      </c>
      <c r="H13" s="25" t="n">
        <v>150</v>
      </c>
    </row>
    <row r="14">
      <c r="A14" s="20" t="inlineStr">
        <is>
          <t>60133633-3cc7-4295-a11f-e6c64356ac5b</t>
        </is>
      </c>
      <c r="B14" s="4" t="inlineStr">
        <is>
          <t>Charles Mack</t>
        </is>
      </c>
      <c r="C14" s="6" t="inlineStr">
        <is>
          <t>charliemack427@gmail.com</t>
        </is>
      </c>
      <c r="D14" s="21" t="n">
        <v>0.1287</v>
      </c>
      <c r="E14" s="22" t="n">
        <v>25.0164</v>
      </c>
      <c r="F14" s="23" t="n">
        <v>5</v>
      </c>
      <c r="G14" s="24">
        <f>D14*H14</f>
        <v>19.305</v>
      </c>
      <c r="H14" s="25" t="n">
        <v>150</v>
      </c>
    </row>
    <row r="15">
      <c r="A15" s="20" t="inlineStr">
        <is>
          <t>252dd98e-f4ea-4329-ae14-535ffc4e88c0</t>
        </is>
      </c>
      <c r="B15" s="4" t="inlineStr">
        <is>
          <t>Charles Mack</t>
        </is>
      </c>
      <c r="C15" s="6" t="inlineStr">
        <is>
          <t>charliemack427@gmail.com</t>
        </is>
      </c>
      <c r="D15" s="21" t="n">
        <v>0.1728</v>
      </c>
      <c r="E15" s="22" t="n">
        <v>12.7713</v>
      </c>
      <c r="F15" s="23" t="n">
        <v>3</v>
      </c>
      <c r="G15" s="24">
        <f>D15*H15</f>
        <v>25.92</v>
      </c>
      <c r="H15" s="25" t="n">
        <v>150</v>
      </c>
    </row>
    <row r="16">
      <c r="A16" s="20" t="inlineStr">
        <is>
          <t>0bf6288b-973a-4408-b74e-767352b3ecc4</t>
        </is>
      </c>
      <c r="B16" s="4" t="inlineStr">
        <is>
          <t>Charles Mack</t>
        </is>
      </c>
      <c r="C16" s="6" t="inlineStr">
        <is>
          <t>charliemack427@gmail.com</t>
        </is>
      </c>
      <c r="D16" s="21" t="n">
        <v>0.2227</v>
      </c>
      <c r="E16" s="22" t="n">
        <v>12.8877</v>
      </c>
      <c r="F16" s="23" t="n">
        <v>3</v>
      </c>
      <c r="G16" s="24">
        <f>D16*H16</f>
        <v>33.405</v>
      </c>
      <c r="H16" s="25" t="n">
        <v>150</v>
      </c>
    </row>
    <row r="17">
      <c r="A17" s="20" t="inlineStr">
        <is>
          <t>15b9ddac-207d-4813-9531-d8d05732dbe6</t>
        </is>
      </c>
      <c r="B17" s="4" t="inlineStr">
        <is>
          <t>Charles Mack</t>
        </is>
      </c>
      <c r="C17" s="6" t="inlineStr">
        <is>
          <t>charliemack427@gmail.com</t>
        </is>
      </c>
      <c r="D17" s="21" t="n">
        <v>0.2701</v>
      </c>
      <c r="E17" s="22" t="n">
        <v>4.6642</v>
      </c>
      <c r="F17" s="23" t="n">
        <v>7</v>
      </c>
      <c r="G17" s="24">
        <f>D17*H17</f>
        <v>40.515</v>
      </c>
      <c r="H17" s="25" t="n">
        <v>150</v>
      </c>
    </row>
    <row r="18">
      <c r="A18" s="20" t="inlineStr">
        <is>
          <t>f3e8acfc-bf7e-4bd7-8321-3844498f7d9f</t>
        </is>
      </c>
      <c r="B18" s="4" t="inlineStr">
        <is>
          <t>Charles Mack</t>
        </is>
      </c>
      <c r="C18" s="6" t="inlineStr">
        <is>
          <t>charliemack427@gmail.com</t>
        </is>
      </c>
      <c r="D18" s="21" t="n">
        <v>0.307</v>
      </c>
      <c r="E18" s="22" t="n">
        <v>1.4033</v>
      </c>
      <c r="F18" s="23" t="n">
        <v>4</v>
      </c>
      <c r="G18" s="24">
        <f>D18*H18</f>
        <v>46.05</v>
      </c>
      <c r="H18" s="25" t="n">
        <v>150</v>
      </c>
    </row>
    <row r="19">
      <c r="A19" s="20" t="inlineStr">
        <is>
          <t>e649b487-9dc8-416b-9c0e-7a19b84bf947</t>
        </is>
      </c>
      <c r="B19" s="4" t="inlineStr">
        <is>
          <t>Charles Mack</t>
        </is>
      </c>
      <c r="C19" s="6" t="inlineStr">
        <is>
          <t>charliemack427@gmail.com</t>
        </is>
      </c>
      <c r="D19" s="21" t="n">
        <v>0.6407</v>
      </c>
      <c r="E19" s="22" t="n">
        <v>11.6555</v>
      </c>
      <c r="F19" s="23" t="n">
        <v>3</v>
      </c>
      <c r="G19" s="24">
        <f>D19*H19</f>
        <v>96.105</v>
      </c>
      <c r="H19" s="25" t="n">
        <v>150</v>
      </c>
    </row>
    <row r="20">
      <c r="A20" s="20" t="inlineStr">
        <is>
          <t>b56ca75d-4ba8-4004-bb92-88689938b2d6</t>
        </is>
      </c>
      <c r="B20" s="4" t="inlineStr">
        <is>
          <t>Charles Mack</t>
        </is>
      </c>
      <c r="C20" s="6" t="inlineStr">
        <is>
          <t>charliemack427@gmail.com</t>
        </is>
      </c>
      <c r="D20" s="21" t="n">
        <v>0.9177</v>
      </c>
      <c r="E20" s="22" t="n">
        <v>12.3247</v>
      </c>
      <c r="F20" s="23" t="n">
        <v>3</v>
      </c>
      <c r="G20" s="24">
        <f>D20*H20</f>
        <v>137.655</v>
      </c>
      <c r="H20" s="25" t="n">
        <v>150</v>
      </c>
    </row>
    <row r="21">
      <c r="A21" s="20" t="inlineStr">
        <is>
          <t>d339e882-b71b-415e-b55e-1cc3a3af4fa3</t>
        </is>
      </c>
      <c r="B21" s="4" t="inlineStr">
        <is>
          <t>Charles Mack</t>
        </is>
      </c>
      <c r="C21" s="6" t="inlineStr">
        <is>
          <t>charliemack427@gmail.com</t>
        </is>
      </c>
      <c r="D21" s="21" t="n">
        <v>0.9254</v>
      </c>
      <c r="E21" s="22" t="n">
        <v>13.638</v>
      </c>
      <c r="F21" s="23" t="n">
        <v>4</v>
      </c>
      <c r="G21" s="24">
        <f>D21*H21</f>
        <v>138.81</v>
      </c>
      <c r="H21" s="25" t="n">
        <v>150</v>
      </c>
    </row>
    <row r="22">
      <c r="A22" s="20" t="inlineStr">
        <is>
          <t>6d0e6b77-c679-443a-a156-2a0ba1c94bff</t>
        </is>
      </c>
      <c r="B22" s="4" t="inlineStr">
        <is>
          <t>Charles Mack</t>
        </is>
      </c>
      <c r="C22" s="6" t="inlineStr">
        <is>
          <t>charliemack427@gmail.com</t>
        </is>
      </c>
      <c r="D22" s="21" t="n">
        <v>1.0791</v>
      </c>
      <c r="E22" s="22" t="n">
        <v>12.7311</v>
      </c>
      <c r="F22" s="23" t="n">
        <v>4</v>
      </c>
      <c r="G22" s="24">
        <f>D22*H22</f>
        <v>161.86499999999998</v>
      </c>
      <c r="H22" s="25" t="n">
        <v>150</v>
      </c>
    </row>
    <row r="23">
      <c r="A23" s="20" t="inlineStr">
        <is>
          <t>8fc004f9-9390-4d22-8dc0-d13259a3ebc1</t>
        </is>
      </c>
      <c r="B23" s="4" t="inlineStr">
        <is>
          <t>Charles Mack</t>
        </is>
      </c>
      <c r="C23" s="6" t="inlineStr">
        <is>
          <t>charliemack427@gmail.com</t>
        </is>
      </c>
      <c r="D23" s="21" t="n">
        <v>1.4623</v>
      </c>
      <c r="E23" s="22" t="n">
        <v>51.4613</v>
      </c>
      <c r="F23" s="23" t="n">
        <v>13</v>
      </c>
      <c r="G23" s="24">
        <f>D23*H23</f>
        <v>219.345</v>
      </c>
      <c r="H23" s="25" t="n">
        <v>150</v>
      </c>
    </row>
    <row r="24">
      <c r="A24" s="20" t="inlineStr">
        <is>
          <t>8821b19d-6c0a-49b5-b3f9-d44653a42e37</t>
        </is>
      </c>
      <c r="B24" s="4" t="inlineStr">
        <is>
          <t>Charles Mack</t>
        </is>
      </c>
      <c r="C24" s="6" t="inlineStr">
        <is>
          <t>charliemack427@gmail.com</t>
        </is>
      </c>
      <c r="D24" s="21" t="n">
        <v>1.8974</v>
      </c>
      <c r="E24" s="22" t="n">
        <v>23.3421</v>
      </c>
      <c r="F24" s="23" t="n">
        <v>4</v>
      </c>
      <c r="G24" s="24">
        <f>D24*H24</f>
        <v>284.61</v>
      </c>
      <c r="H24" s="25" t="n">
        <v>150</v>
      </c>
    </row>
    <row r="25">
      <c r="A25" s="20" t="inlineStr">
        <is>
          <t>0ba8ab77-e17f-4c5a-a636-df35c808cbeb</t>
        </is>
      </c>
      <c r="B25" s="4" t="inlineStr">
        <is>
          <t>Charles Mack</t>
        </is>
      </c>
      <c r="C25" s="6" t="inlineStr">
        <is>
          <t>charliemack427@gmail.com</t>
        </is>
      </c>
      <c r="D25" s="21" t="n">
        <v>1.9204</v>
      </c>
      <c r="E25" s="22" t="n">
        <v>17.9805</v>
      </c>
      <c r="F25" s="23" t="n">
        <v>4</v>
      </c>
      <c r="G25" s="24">
        <f>D25*H25</f>
        <v>288.06</v>
      </c>
      <c r="H25" s="25" t="n">
        <v>150</v>
      </c>
    </row>
    <row r="26">
      <c r="A26" s="20" t="inlineStr">
        <is>
          <t>97696025-c83a-4708-9043-001219cd4d46</t>
        </is>
      </c>
      <c r="B26" s="4" t="inlineStr">
        <is>
          <t>Charles Mack</t>
        </is>
      </c>
      <c r="C26" s="6" t="inlineStr">
        <is>
          <t>charliemack427@gmail.com</t>
        </is>
      </c>
      <c r="D26" s="21" t="n">
        <v>2.526</v>
      </c>
      <c r="E26" s="22" t="n">
        <v>33.2797</v>
      </c>
      <c r="F26" s="23" t="n">
        <v>8</v>
      </c>
      <c r="G26" s="24">
        <f>D26*H26</f>
        <v>378.9</v>
      </c>
      <c r="H26" s="25" t="n">
        <v>150</v>
      </c>
    </row>
    <row r="27">
      <c r="A27" s="20" t="inlineStr">
        <is>
          <t>dcf6c6b5-6f8c-4030-b6a6-cfad2b1ffe03</t>
        </is>
      </c>
      <c r="B27" s="4" t="inlineStr">
        <is>
          <t>Charles Mack</t>
        </is>
      </c>
      <c r="C27" s="6" t="inlineStr">
        <is>
          <t>charliemack427@gmail.com</t>
        </is>
      </c>
      <c r="D27" s="21" t="n">
        <v>3.1352</v>
      </c>
      <c r="E27" s="22" t="n">
        <v>40.1323</v>
      </c>
      <c r="F27" s="23" t="n">
        <v>12</v>
      </c>
      <c r="G27" s="24">
        <f>D27*H27</f>
        <v>470.28000000000003</v>
      </c>
      <c r="H27" s="25" t="n">
        <v>150</v>
      </c>
    </row>
    <row r="28">
      <c r="A28" s="20" t="inlineStr">
        <is>
          <t>183426ef-f77b-4aee-84a4-8927191e98b6</t>
        </is>
      </c>
      <c r="B28" s="4" t="inlineStr">
        <is>
          <t>Charles Mack</t>
        </is>
      </c>
      <c r="C28" s="6" t="inlineStr">
        <is>
          <t>charliemack427@gmail.com</t>
        </is>
      </c>
      <c r="D28" s="21" t="n">
        <v>4.0135</v>
      </c>
      <c r="E28" s="22" t="n">
        <v>62.1179</v>
      </c>
      <c r="F28" s="23" t="n">
        <v>10</v>
      </c>
      <c r="G28" s="24">
        <f>D28*H28</f>
        <v>602.025</v>
      </c>
      <c r="H28" s="25" t="n">
        <v>150</v>
      </c>
    </row>
    <row r="29">
      <c r="A29" s="20" t="inlineStr">
        <is>
          <t>73db625e-6f3a-4d3a-b0d5-571a2ccf76df</t>
        </is>
      </c>
      <c r="B29" s="4" t="inlineStr">
        <is>
          <t>Charles Mack</t>
        </is>
      </c>
      <c r="C29" s="6" t="inlineStr">
        <is>
          <t>charliemack427@gmail.com</t>
        </is>
      </c>
      <c r="D29" s="21" t="n">
        <v>6.0684</v>
      </c>
      <c r="E29" s="22" t="n">
        <v>36.7554</v>
      </c>
      <c r="F29" s="23" t="n">
        <v>5</v>
      </c>
      <c r="G29" s="24">
        <f>D29*H29</f>
        <v>910.26</v>
      </c>
      <c r="H29" s="25" t="n">
        <v>150</v>
      </c>
    </row>
    <row r="30">
      <c r="A30" s="20" t="inlineStr">
        <is>
          <t>3c09b0fb-1cf5-4d10-a5ee-a7ba325e3dc0</t>
        </is>
      </c>
      <c r="B30" s="4" t="inlineStr">
        <is>
          <t>Melvan Hoo Jun Hong</t>
        </is>
      </c>
      <c r="C30" s="6" t="inlineStr">
        <is>
          <t>melvanhjh@gmail.com</t>
        </is>
      </c>
      <c r="D30" s="21" t="n">
        <v>0.0258</v>
      </c>
      <c r="E30" s="22" t="n">
        <v>1.8631</v>
      </c>
      <c r="F30" s="23" t="n">
        <v>2</v>
      </c>
      <c r="G30" s="24">
        <f>D30*H30</f>
        <v>5.16</v>
      </c>
      <c r="H30" s="25" t="n">
        <v>200</v>
      </c>
    </row>
    <row r="31">
      <c r="A31" s="20" t="inlineStr">
        <is>
          <t>8baf7387-a79b-41b2-969e-9c00fc06a55d</t>
        </is>
      </c>
      <c r="B31" s="4" t="inlineStr">
        <is>
          <t>Melvan Hoo Jun Hong</t>
        </is>
      </c>
      <c r="C31" s="6" t="inlineStr">
        <is>
          <t>melvanhjh@gmail.com</t>
        </is>
      </c>
      <c r="D31" s="21" t="n">
        <v>0.0321</v>
      </c>
      <c r="E31" s="22" t="n">
        <v>12.0831</v>
      </c>
      <c r="F31" s="23" t="n">
        <v>2</v>
      </c>
      <c r="G31" s="24">
        <f>D31*H31</f>
        <v>6.419999999999999</v>
      </c>
      <c r="H31" s="25" t="n">
        <v>200</v>
      </c>
    </row>
    <row r="32">
      <c r="A32" s="20" t="inlineStr">
        <is>
          <t>bf21e0b6-9096-4fdd-bfd2-ac981622b810</t>
        </is>
      </c>
      <c r="B32" s="4" t="inlineStr">
        <is>
          <t>Melvan Hoo Jun Hong</t>
        </is>
      </c>
      <c r="C32" s="6" t="inlineStr">
        <is>
          <t>melvanhjh@gmail.com</t>
        </is>
      </c>
      <c r="D32" s="21" t="n">
        <v>0.0403</v>
      </c>
      <c r="E32" s="22" t="n">
        <v>12.1689</v>
      </c>
      <c r="F32" s="23" t="n">
        <v>2</v>
      </c>
      <c r="G32" s="24">
        <f>D32*H32</f>
        <v>8.06</v>
      </c>
      <c r="H32" s="25" t="n">
        <v>200</v>
      </c>
    </row>
    <row r="33">
      <c r="A33" s="20" t="inlineStr">
        <is>
          <t>0c76730c-5d73-4e26-81fa-d56943b38d0b</t>
        </is>
      </c>
      <c r="B33" s="4" t="inlineStr">
        <is>
          <t>Melvan Hoo Jun Hong</t>
        </is>
      </c>
      <c r="C33" s="6" t="inlineStr">
        <is>
          <t>melvanhjh@gmail.com</t>
        </is>
      </c>
      <c r="D33" s="21" t="n">
        <v>0.0458</v>
      </c>
      <c r="E33" s="22" t="n">
        <v>0.1301</v>
      </c>
      <c r="F33" s="23" t="n">
        <v>1</v>
      </c>
      <c r="G33" s="24">
        <f>D33*H33</f>
        <v>9.16</v>
      </c>
      <c r="H33" s="25" t="n">
        <v>200</v>
      </c>
    </row>
    <row r="34">
      <c r="A34" s="20" t="inlineStr">
        <is>
          <t>7e20d6e2-1708-4b5f-81aa-0ce04fee5f27</t>
        </is>
      </c>
      <c r="B34" s="4" t="inlineStr">
        <is>
          <t>Melvan Hoo Jun Hong</t>
        </is>
      </c>
      <c r="C34" s="6" t="inlineStr">
        <is>
          <t>melvanhjh@gmail.com</t>
        </is>
      </c>
      <c r="D34" s="21" t="n">
        <v>0.0621</v>
      </c>
      <c r="E34" s="22" t="n">
        <v>0.3808</v>
      </c>
      <c r="F34" s="23" t="n">
        <v>1</v>
      </c>
      <c r="G34" s="24">
        <f>D34*H34</f>
        <v>12.42</v>
      </c>
      <c r="H34" s="25" t="n">
        <v>200</v>
      </c>
    </row>
    <row r="35">
      <c r="A35" s="20" t="inlineStr">
        <is>
          <t>929c0e4e-52a8-41b7-8b5c-acb2cf804988</t>
        </is>
      </c>
      <c r="B35" s="4" t="inlineStr">
        <is>
          <t>Melvan Hoo Jun Hong</t>
        </is>
      </c>
      <c r="C35" s="6" t="inlineStr">
        <is>
          <t>melvanhjh@gmail.com</t>
        </is>
      </c>
      <c r="D35" s="21" t="n">
        <v>0.08160000000000001</v>
      </c>
      <c r="E35" s="22" t="n">
        <v>16.6555</v>
      </c>
      <c r="F35" s="23" t="n">
        <v>3</v>
      </c>
      <c r="G35" s="24">
        <f>D35*H35</f>
        <v>16.32</v>
      </c>
      <c r="H35" s="25" t="n">
        <v>200</v>
      </c>
    </row>
    <row r="36">
      <c r="A36" s="20" t="inlineStr">
        <is>
          <t>c40018eb-99bb-4e2e-a02c-4f2bdc90fa25</t>
        </is>
      </c>
      <c r="B36" s="4" t="inlineStr">
        <is>
          <t>Melvan Hoo Jun Hong</t>
        </is>
      </c>
      <c r="C36" s="6" t="inlineStr">
        <is>
          <t>melvanhjh@gmail.com</t>
        </is>
      </c>
      <c r="D36" s="21" t="n">
        <v>0.0902</v>
      </c>
      <c r="E36" s="22" t="n">
        <v>15.7562</v>
      </c>
      <c r="F36" s="23" t="n">
        <v>3</v>
      </c>
      <c r="G36" s="24">
        <f>D36*H36</f>
        <v>18.04</v>
      </c>
      <c r="H36" s="25" t="n">
        <v>200</v>
      </c>
    </row>
    <row r="37">
      <c r="A37" s="20" t="inlineStr">
        <is>
          <t>6427a5c3-b0d4-4ddd-aaaf-eee37e010035</t>
        </is>
      </c>
      <c r="B37" s="4" t="inlineStr">
        <is>
          <t>Melvan Hoo Jun Hong</t>
        </is>
      </c>
      <c r="C37" s="6" t="inlineStr">
        <is>
          <t>melvanhjh@gmail.com</t>
        </is>
      </c>
      <c r="D37" s="21" t="n">
        <v>0.0964</v>
      </c>
      <c r="E37" s="22" t="n">
        <v>12.1443</v>
      </c>
      <c r="F37" s="23" t="n">
        <v>2</v>
      </c>
      <c r="G37" s="24">
        <f>D37*H37</f>
        <v>19.28</v>
      </c>
      <c r="H37" s="25" t="n">
        <v>200</v>
      </c>
    </row>
    <row r="38">
      <c r="A38" s="20" t="inlineStr">
        <is>
          <t>becae49d-25b7-45f2-b8a3-d805c060f2d5</t>
        </is>
      </c>
      <c r="B38" s="4" t="inlineStr">
        <is>
          <t>Melvan Hoo Jun Hong</t>
        </is>
      </c>
      <c r="C38" s="6" t="inlineStr">
        <is>
          <t>melvanhjh@gmail.com</t>
        </is>
      </c>
      <c r="D38" s="21" t="n">
        <v>0.097</v>
      </c>
      <c r="E38" s="22" t="n">
        <v>12.1918</v>
      </c>
      <c r="F38" s="23" t="n">
        <v>3</v>
      </c>
      <c r="G38" s="24">
        <f>D38*H38</f>
        <v>19.400000000000002</v>
      </c>
      <c r="H38" s="25" t="n">
        <v>200</v>
      </c>
    </row>
    <row r="39">
      <c r="A39" s="20" t="inlineStr">
        <is>
          <t>775d94f4-1aa1-4999-805a-88874d6a46e6</t>
        </is>
      </c>
      <c r="B39" s="4" t="inlineStr">
        <is>
          <t>Melvan Hoo Jun Hong</t>
        </is>
      </c>
      <c r="C39" s="6" t="inlineStr">
        <is>
          <t>melvanhjh@gmail.com</t>
        </is>
      </c>
      <c r="D39" s="21" t="n">
        <v>0.1033</v>
      </c>
      <c r="E39" s="22" t="n">
        <v>14.1994</v>
      </c>
      <c r="F39" s="23" t="n">
        <v>3</v>
      </c>
      <c r="G39" s="24">
        <f>D39*H39</f>
        <v>20.66</v>
      </c>
      <c r="H39" s="25" t="n">
        <v>200</v>
      </c>
    </row>
    <row r="40">
      <c r="A40" s="20" t="inlineStr">
        <is>
          <t>b132ff19-424d-4482-9325-8b71474f7f8a</t>
        </is>
      </c>
      <c r="B40" s="4" t="inlineStr">
        <is>
          <t>Melvan Hoo Jun Hong</t>
        </is>
      </c>
      <c r="C40" s="6" t="inlineStr">
        <is>
          <t>melvanhjh@gmail.com</t>
        </is>
      </c>
      <c r="D40" s="21" t="n">
        <v>0.1035</v>
      </c>
      <c r="E40" s="22" t="n">
        <v>12.3157</v>
      </c>
      <c r="F40" s="23" t="n">
        <v>2</v>
      </c>
      <c r="G40" s="24">
        <f>D40*H40</f>
        <v>20.7</v>
      </c>
      <c r="H40" s="25" t="n">
        <v>200</v>
      </c>
    </row>
    <row r="41">
      <c r="A41" s="20" t="inlineStr">
        <is>
          <t>fc84241c-82fe-4980-a236-52f3dd27a4a4</t>
        </is>
      </c>
      <c r="B41" s="4" t="inlineStr">
        <is>
          <t>Melvan Hoo Jun Hong</t>
        </is>
      </c>
      <c r="C41" s="6" t="inlineStr">
        <is>
          <t>melvanhjh@gmail.com</t>
        </is>
      </c>
      <c r="D41" s="21" t="n">
        <v>0.1039</v>
      </c>
      <c r="E41" s="22" t="n">
        <v>21.8513</v>
      </c>
      <c r="F41" s="23" t="n">
        <v>4</v>
      </c>
      <c r="G41" s="24">
        <f>D41*H41</f>
        <v>20.78</v>
      </c>
      <c r="H41" s="25" t="n">
        <v>200</v>
      </c>
    </row>
    <row r="42">
      <c r="A42" s="20" t="inlineStr">
        <is>
          <t>abbef9ad-2ccd-45bc-b8ee-b4323857811e</t>
        </is>
      </c>
      <c r="B42" s="4" t="inlineStr">
        <is>
          <t>Melvan Hoo Jun Hong</t>
        </is>
      </c>
      <c r="C42" s="6" t="inlineStr">
        <is>
          <t>melvanhjh@gmail.com</t>
        </is>
      </c>
      <c r="D42" s="21" t="n">
        <v>0.1275</v>
      </c>
      <c r="E42" s="22" t="n">
        <v>22.1377</v>
      </c>
      <c r="F42" s="23" t="n">
        <v>4</v>
      </c>
      <c r="G42" s="24">
        <f>D42*H42</f>
        <v>25.5</v>
      </c>
      <c r="H42" s="25" t="n">
        <v>200</v>
      </c>
    </row>
    <row r="43">
      <c r="A43" s="20" t="inlineStr">
        <is>
          <t>ba08d0ce-2aba-4b52-b9db-c6617b0796b5</t>
        </is>
      </c>
      <c r="B43" s="4" t="inlineStr">
        <is>
          <t>Melvan Hoo Jun Hong</t>
        </is>
      </c>
      <c r="C43" s="6" t="inlineStr">
        <is>
          <t>melvanhjh@gmail.com</t>
        </is>
      </c>
      <c r="D43" s="21" t="n">
        <v>0.1485</v>
      </c>
      <c r="E43" s="22" t="n">
        <v>20.8021</v>
      </c>
      <c r="F43" s="23" t="n">
        <v>4</v>
      </c>
      <c r="G43" s="24">
        <f>D43*H43</f>
        <v>29.7</v>
      </c>
      <c r="H43" s="25" t="n">
        <v>200</v>
      </c>
    </row>
    <row r="44">
      <c r="A44" s="20" t="inlineStr">
        <is>
          <t>592206c6-7142-4880-b06a-d9cef23156ac</t>
        </is>
      </c>
      <c r="B44" s="4" t="inlineStr">
        <is>
          <t>Melvan Hoo Jun Hong</t>
        </is>
      </c>
      <c r="C44" s="6" t="inlineStr">
        <is>
          <t>melvanhjh@gmail.com</t>
        </is>
      </c>
      <c r="D44" s="21" t="n">
        <v>0.1515</v>
      </c>
      <c r="E44" s="22" t="n">
        <v>18.6604</v>
      </c>
      <c r="F44" s="23" t="n">
        <v>3</v>
      </c>
      <c r="G44" s="24">
        <f>D44*H44</f>
        <v>30.3</v>
      </c>
      <c r="H44" s="25" t="n">
        <v>200</v>
      </c>
    </row>
    <row r="45">
      <c r="A45" s="20" t="inlineStr">
        <is>
          <t>d29b58e4-2d61-401e-b177-211ca50d6b8c</t>
        </is>
      </c>
      <c r="B45" s="4" t="inlineStr">
        <is>
          <t>Melvan Hoo Jun Hong</t>
        </is>
      </c>
      <c r="C45" s="6" t="inlineStr">
        <is>
          <t>melvanhjh@gmail.com</t>
        </is>
      </c>
      <c r="D45" s="21" t="n">
        <v>0.1672</v>
      </c>
      <c r="E45" s="22" t="n">
        <v>33.9609</v>
      </c>
      <c r="F45" s="23" t="n">
        <v>6</v>
      </c>
      <c r="G45" s="24">
        <f>D45*H45</f>
        <v>33.44</v>
      </c>
      <c r="H45" s="25" t="n">
        <v>200</v>
      </c>
    </row>
    <row r="46">
      <c r="A46" s="20" t="inlineStr">
        <is>
          <t>d9086e34-7898-4f89-a2d2-d46795598559</t>
        </is>
      </c>
      <c r="B46" s="4" t="inlineStr">
        <is>
          <t>Melvan Hoo Jun Hong</t>
        </is>
      </c>
      <c r="C46" s="6" t="inlineStr">
        <is>
          <t>melvanhjh@gmail.com</t>
        </is>
      </c>
      <c r="D46" s="21" t="n">
        <v>0.1826</v>
      </c>
      <c r="E46" s="22" t="n">
        <v>22.6629</v>
      </c>
      <c r="F46" s="23" t="n">
        <v>6</v>
      </c>
      <c r="G46" s="24">
        <f>D46*H46</f>
        <v>36.52</v>
      </c>
      <c r="H46" s="25" t="n">
        <v>200</v>
      </c>
    </row>
    <row r="47">
      <c r="A47" s="20" t="inlineStr">
        <is>
          <t>38dedd68-a9bf-4eda-87a9-1488ccfda47e</t>
        </is>
      </c>
      <c r="B47" s="4" t="inlineStr">
        <is>
          <t>Melvan Hoo Jun Hong</t>
        </is>
      </c>
      <c r="C47" s="6" t="inlineStr">
        <is>
          <t>melvanhjh@gmail.com</t>
        </is>
      </c>
      <c r="D47" s="21" t="n">
        <v>0.1983</v>
      </c>
      <c r="E47" s="22" t="n">
        <v>14.927</v>
      </c>
      <c r="F47" s="23" t="n">
        <v>3</v>
      </c>
      <c r="G47" s="24">
        <f>D47*H47</f>
        <v>39.660000000000004</v>
      </c>
      <c r="H47" s="25" t="n">
        <v>200</v>
      </c>
    </row>
    <row r="48">
      <c r="A48" s="20" t="inlineStr">
        <is>
          <t>2ef648e3-b61d-4739-9afd-2c8f5c73b772</t>
        </is>
      </c>
      <c r="B48" s="4" t="inlineStr">
        <is>
          <t>Melvan Hoo Jun Hong</t>
        </is>
      </c>
      <c r="C48" s="6" t="inlineStr">
        <is>
          <t>melvanhjh@gmail.com</t>
        </is>
      </c>
      <c r="D48" s="21" t="n">
        <v>0.2016</v>
      </c>
      <c r="E48" s="22" t="n">
        <v>24.4332</v>
      </c>
      <c r="F48" s="23" t="n">
        <v>6</v>
      </c>
      <c r="G48" s="24">
        <f>D48*H48</f>
        <v>40.32</v>
      </c>
      <c r="H48" s="25" t="n">
        <v>200</v>
      </c>
    </row>
    <row r="49">
      <c r="A49" s="20" t="inlineStr">
        <is>
          <t>17843b82-f2c3-4390-be9d-85bd269a59b0</t>
        </is>
      </c>
      <c r="B49" s="4" t="inlineStr">
        <is>
          <t>Melvan Hoo Jun Hong</t>
        </is>
      </c>
      <c r="C49" s="6" t="inlineStr">
        <is>
          <t>melvanhjh@gmail.com</t>
        </is>
      </c>
      <c r="D49" s="21" t="n">
        <v>0.2163</v>
      </c>
      <c r="E49" s="22" t="n">
        <v>24.2644</v>
      </c>
      <c r="F49" s="23" t="n">
        <v>7</v>
      </c>
      <c r="G49" s="24">
        <f>D49*H49</f>
        <v>43.26</v>
      </c>
      <c r="H49" s="25" t="n">
        <v>200</v>
      </c>
    </row>
    <row r="50">
      <c r="A50" s="20" t="inlineStr">
        <is>
          <t>0999e590-4d05-486e-bea4-daa66a0226e2</t>
        </is>
      </c>
      <c r="B50" s="4" t="inlineStr">
        <is>
          <t>Melvan Hoo Jun Hong</t>
        </is>
      </c>
      <c r="C50" s="6" t="inlineStr">
        <is>
          <t>melvanhjh@gmail.com</t>
        </is>
      </c>
      <c r="D50" s="21" t="n">
        <v>0.2378</v>
      </c>
      <c r="E50" s="22" t="n">
        <v>39.9444</v>
      </c>
      <c r="F50" s="23" t="n">
        <v>9</v>
      </c>
      <c r="G50" s="24">
        <f>D50*H50</f>
        <v>47.56</v>
      </c>
      <c r="H50" s="25" t="n">
        <v>200</v>
      </c>
    </row>
    <row r="51">
      <c r="A51" s="20" t="inlineStr">
        <is>
          <t>efb86e59-d043-4529-94e3-377631464d1a</t>
        </is>
      </c>
      <c r="B51" s="4" t="inlineStr">
        <is>
          <t>Melvan Hoo Jun Hong</t>
        </is>
      </c>
      <c r="C51" s="6" t="inlineStr">
        <is>
          <t>melvanhjh@gmail.com</t>
        </is>
      </c>
      <c r="D51" s="21" t="n">
        <v>0.2431</v>
      </c>
      <c r="E51" s="22" t="n">
        <v>23.3262</v>
      </c>
      <c r="F51" s="23" t="n">
        <v>9</v>
      </c>
      <c r="G51" s="24">
        <f>D51*H51</f>
        <v>48.620000000000005</v>
      </c>
      <c r="H51" s="25" t="n">
        <v>200</v>
      </c>
    </row>
    <row r="52">
      <c r="A52" s="20" t="inlineStr">
        <is>
          <t>82ad1917-72da-4a60-9e26-2b7dedaaa60c</t>
        </is>
      </c>
      <c r="B52" s="4" t="inlineStr">
        <is>
          <t>Melvan Hoo Jun Hong</t>
        </is>
      </c>
      <c r="C52" s="6" t="inlineStr">
        <is>
          <t>melvanhjh@gmail.com</t>
        </is>
      </c>
      <c r="D52" s="21" t="n">
        <v>0.2637</v>
      </c>
      <c r="E52" s="22" t="n">
        <v>6.2157</v>
      </c>
      <c r="F52" s="23" t="n">
        <v>2</v>
      </c>
      <c r="G52" s="24">
        <f>D52*H52</f>
        <v>52.739999999999995</v>
      </c>
      <c r="H52" s="25" t="n">
        <v>200</v>
      </c>
    </row>
    <row r="53">
      <c r="A53" s="20" t="inlineStr">
        <is>
          <t>6e85055f-d176-41de-9c4b-4a6613047c40</t>
        </is>
      </c>
      <c r="B53" s="4" t="inlineStr">
        <is>
          <t>Melvan Hoo Jun Hong</t>
        </is>
      </c>
      <c r="C53" s="6" t="inlineStr">
        <is>
          <t>melvanhjh@gmail.com</t>
        </is>
      </c>
      <c r="D53" s="21" t="n">
        <v>0.2788</v>
      </c>
      <c r="E53" s="22" t="n">
        <v>0.2821</v>
      </c>
      <c r="F53" s="23" t="n">
        <v>1</v>
      </c>
      <c r="G53" s="24">
        <f>D53*H53</f>
        <v>55.76</v>
      </c>
      <c r="H53" s="25" t="n">
        <v>200</v>
      </c>
    </row>
    <row r="54">
      <c r="A54" s="20" t="inlineStr">
        <is>
          <t>69341385-78c8-4191-9755-f60fef49b484</t>
        </is>
      </c>
      <c r="B54" s="4" t="inlineStr">
        <is>
          <t>Melvan Hoo Jun Hong</t>
        </is>
      </c>
      <c r="C54" s="6" t="inlineStr">
        <is>
          <t>melvanhjh@gmail.com</t>
        </is>
      </c>
      <c r="D54" s="21" t="n">
        <v>0.2968</v>
      </c>
      <c r="E54" s="22" t="n">
        <v>24.9993</v>
      </c>
      <c r="F54" s="23" t="n">
        <v>6</v>
      </c>
      <c r="G54" s="24">
        <f>D54*H54</f>
        <v>59.36</v>
      </c>
      <c r="H54" s="25" t="n">
        <v>200</v>
      </c>
    </row>
    <row r="55">
      <c r="A55" s="20" t="inlineStr">
        <is>
          <t>8ab98faa-ff73-41d2-8cb5-a411fb0bf1a2</t>
        </is>
      </c>
      <c r="B55" s="4" t="inlineStr">
        <is>
          <t>Melvan Hoo Jun Hong</t>
        </is>
      </c>
      <c r="C55" s="6" t="inlineStr">
        <is>
          <t>melvanhjh@gmail.com</t>
        </is>
      </c>
      <c r="D55" s="21" t="n">
        <v>0.3593</v>
      </c>
      <c r="E55" s="22" t="n">
        <v>23.1544</v>
      </c>
      <c r="F55" s="23" t="n">
        <v>6</v>
      </c>
      <c r="G55" s="24">
        <f>D55*H55</f>
        <v>71.86</v>
      </c>
      <c r="H55" s="25" t="n">
        <v>200</v>
      </c>
    </row>
    <row r="56">
      <c r="A56" s="20" t="inlineStr">
        <is>
          <t>35d8f727-721b-47bb-ac53-290edd4c53e3</t>
        </is>
      </c>
      <c r="B56" s="4" t="inlineStr">
        <is>
          <t>Melvan Hoo Jun Hong</t>
        </is>
      </c>
      <c r="C56" s="6" t="inlineStr">
        <is>
          <t>melvanhjh@gmail.com</t>
        </is>
      </c>
      <c r="D56" s="21" t="n">
        <v>0.4207</v>
      </c>
      <c r="E56" s="22" t="n">
        <v>23.2282</v>
      </c>
      <c r="F56" s="23" t="n">
        <v>3</v>
      </c>
      <c r="G56" s="24">
        <f>D56*H56</f>
        <v>84.14</v>
      </c>
      <c r="H56" s="25" t="n">
        <v>200</v>
      </c>
    </row>
    <row r="57">
      <c r="A57" s="20" t="inlineStr">
        <is>
          <t>39c58a72-61fc-44e6-bacb-6b44bdca3687</t>
        </is>
      </c>
      <c r="B57" s="4" t="inlineStr">
        <is>
          <t>Melvan Hoo Jun Hong</t>
        </is>
      </c>
      <c r="C57" s="6" t="inlineStr">
        <is>
          <t>melvanhjh@gmail.com</t>
        </is>
      </c>
      <c r="D57" s="21" t="n">
        <v>0.4245</v>
      </c>
      <c r="E57" s="22" t="n">
        <v>25.2563</v>
      </c>
      <c r="F57" s="23" t="n">
        <v>8</v>
      </c>
      <c r="G57" s="24">
        <f>D57*H57</f>
        <v>84.89999999999999</v>
      </c>
      <c r="H57" s="25" t="n">
        <v>200</v>
      </c>
    </row>
    <row r="58">
      <c r="A58" s="20" t="inlineStr">
        <is>
          <t>7c0f568d-dd97-42e4-9299-460b0d47efcf</t>
        </is>
      </c>
      <c r="B58" s="4" t="inlineStr">
        <is>
          <t>Melvan Hoo Jun Hong</t>
        </is>
      </c>
      <c r="C58" s="6" t="inlineStr">
        <is>
          <t>melvanhjh@gmail.com</t>
        </is>
      </c>
      <c r="D58" s="21" t="n">
        <v>0.4312</v>
      </c>
      <c r="E58" s="22" t="n">
        <v>15.0885</v>
      </c>
      <c r="F58" s="23" t="n">
        <v>9</v>
      </c>
      <c r="G58" s="24">
        <f>D58*H58</f>
        <v>86.24000000000001</v>
      </c>
      <c r="H58" s="25" t="n">
        <v>200</v>
      </c>
    </row>
    <row r="59">
      <c r="A59" s="20" t="inlineStr">
        <is>
          <t>6e24e708-7b5a-4df4-8244-68fe67b91999</t>
        </is>
      </c>
      <c r="B59" s="4" t="inlineStr">
        <is>
          <t>Melvan Hoo Jun Hong</t>
        </is>
      </c>
      <c r="C59" s="6" t="inlineStr">
        <is>
          <t>melvanhjh@gmail.com</t>
        </is>
      </c>
      <c r="D59" s="21" t="n">
        <v>0.4483</v>
      </c>
      <c r="E59" s="22" t="n">
        <v>30.063</v>
      </c>
      <c r="F59" s="23" t="n">
        <v>9</v>
      </c>
      <c r="G59" s="24">
        <f>D59*H59</f>
        <v>89.66</v>
      </c>
      <c r="H59" s="25" t="n">
        <v>200</v>
      </c>
    </row>
    <row r="60">
      <c r="A60" s="20" t="inlineStr">
        <is>
          <t>8bba6838-abbb-4feb-b680-06aa4014d518</t>
        </is>
      </c>
      <c r="B60" s="4" t="inlineStr">
        <is>
          <t>Melvan Hoo Jun Hong</t>
        </is>
      </c>
      <c r="C60" s="6" t="inlineStr">
        <is>
          <t>melvanhjh@gmail.com</t>
        </is>
      </c>
      <c r="D60" s="21" t="n">
        <v>0.4503</v>
      </c>
      <c r="E60" s="22" t="n">
        <v>15.557</v>
      </c>
      <c r="F60" s="23" t="n">
        <v>4</v>
      </c>
      <c r="G60" s="24">
        <f>D60*H60</f>
        <v>90.06</v>
      </c>
      <c r="H60" s="25" t="n">
        <v>200</v>
      </c>
    </row>
    <row r="61">
      <c r="A61" s="20" t="inlineStr">
        <is>
          <t>fa5312e2-9cb2-44ef-bb3b-e2567769808c</t>
        </is>
      </c>
      <c r="B61" s="4" t="inlineStr">
        <is>
          <t>Melvan Hoo Jun Hong</t>
        </is>
      </c>
      <c r="C61" s="6" t="inlineStr">
        <is>
          <t>melvanhjh@gmail.com</t>
        </is>
      </c>
      <c r="D61" s="21" t="n">
        <v>0.578</v>
      </c>
      <c r="E61" s="22" t="n">
        <v>9.5334</v>
      </c>
      <c r="F61" s="23" t="n">
        <v>7</v>
      </c>
      <c r="G61" s="24">
        <f>D61*H61</f>
        <v>115.6</v>
      </c>
      <c r="H61" s="25" t="n">
        <v>200</v>
      </c>
    </row>
    <row r="62">
      <c r="A62" s="20" t="inlineStr">
        <is>
          <t>3f872394-6f7d-4126-9a88-6d54f2d3c078</t>
        </is>
      </c>
      <c r="B62" s="4" t="inlineStr">
        <is>
          <t>Melvan Hoo Jun Hong</t>
        </is>
      </c>
      <c r="C62" s="6" t="inlineStr">
        <is>
          <t>melvanhjh@gmail.com</t>
        </is>
      </c>
      <c r="D62" s="21" t="n">
        <v>0.6037</v>
      </c>
      <c r="E62" s="22" t="n">
        <v>9.3736</v>
      </c>
      <c r="F62" s="23" t="n">
        <v>4</v>
      </c>
      <c r="G62" s="24">
        <f>D62*H62</f>
        <v>120.74000000000001</v>
      </c>
      <c r="H62" s="25" t="n">
        <v>200</v>
      </c>
    </row>
    <row r="63">
      <c r="A63" s="20" t="inlineStr">
        <is>
          <t>d45a23f3-e137-473f-aaaf-66ce5c2e04b5</t>
        </is>
      </c>
      <c r="B63" s="4" t="inlineStr">
        <is>
          <t>Melvan Hoo Jun Hong</t>
        </is>
      </c>
      <c r="C63" s="6" t="inlineStr">
        <is>
          <t>melvanhjh@gmail.com</t>
        </is>
      </c>
      <c r="D63" s="21" t="n">
        <v>0.8631</v>
      </c>
      <c r="E63" s="22" t="n">
        <v>9.235300000000001</v>
      </c>
      <c r="F63" s="23" t="n">
        <v>6</v>
      </c>
      <c r="G63" s="24">
        <f>D63*H63</f>
        <v>172.62</v>
      </c>
      <c r="H63" s="25" t="n">
        <v>200</v>
      </c>
    </row>
    <row r="64">
      <c r="A64" s="20" t="inlineStr">
        <is>
          <t>1651f95f-03a4-4b43-abe1-4dfaa20e8aa1</t>
        </is>
      </c>
      <c r="B64" s="4" t="inlineStr">
        <is>
          <t>Melvan Hoo Jun Hong</t>
        </is>
      </c>
      <c r="C64" s="6" t="inlineStr">
        <is>
          <t>melvanhjh@gmail.com</t>
        </is>
      </c>
      <c r="D64" s="21" t="n">
        <v>0.9735</v>
      </c>
      <c r="E64" s="22" t="n">
        <v>42.5288</v>
      </c>
      <c r="F64" s="23" t="n">
        <v>21</v>
      </c>
      <c r="G64" s="24">
        <f>D64*H64</f>
        <v>194.70000000000002</v>
      </c>
      <c r="H64" s="25" t="n">
        <v>200</v>
      </c>
    </row>
    <row r="65">
      <c r="A65" s="20" t="inlineStr">
        <is>
          <t>b5b30049-97c5-482e-8971-b6b3bf71cc90</t>
        </is>
      </c>
      <c r="B65" s="4" t="inlineStr">
        <is>
          <t>Melvan Hoo Jun Hong</t>
        </is>
      </c>
      <c r="C65" s="6" t="inlineStr">
        <is>
          <t>melvanhjh@gmail.com</t>
        </is>
      </c>
      <c r="D65" s="21" t="n">
        <v>1.3364</v>
      </c>
      <c r="E65" s="22" t="n">
        <v>84.0403</v>
      </c>
      <c r="F65" s="23" t="n">
        <v>20</v>
      </c>
      <c r="G65" s="24">
        <f>D65*H65</f>
        <v>267.28000000000003</v>
      </c>
      <c r="H65" s="25" t="n">
        <v>200</v>
      </c>
    </row>
    <row r="66">
      <c r="A66" s="20" t="inlineStr">
        <is>
          <t>abb6e369-b0b1-4b39-b1ea-9a1363d05fb1</t>
        </is>
      </c>
      <c r="B66" s="4" t="inlineStr">
        <is>
          <t>Melvan Hoo Jun Hong</t>
        </is>
      </c>
      <c r="C66" s="6" t="inlineStr">
        <is>
          <t>melvanhjh@gmail.com</t>
        </is>
      </c>
      <c r="D66" s="21" t="n">
        <v>1.3738</v>
      </c>
      <c r="E66" s="22" t="n">
        <v>27.5216</v>
      </c>
      <c r="F66" s="23" t="n">
        <v>4</v>
      </c>
      <c r="G66" s="24">
        <f>D66*H66</f>
        <v>274.76</v>
      </c>
      <c r="H66" s="25" t="n">
        <v>200</v>
      </c>
    </row>
    <row r="67">
      <c r="A67" s="20" t="inlineStr">
        <is>
          <t>d40a9cf9-f069-444c-9e91-f72a7c68a26e</t>
        </is>
      </c>
      <c r="B67" s="4" t="inlineStr">
        <is>
          <t>Melvan Hoo Jun Hong</t>
        </is>
      </c>
      <c r="C67" s="6" t="inlineStr">
        <is>
          <t>melvanhjh@gmail.com</t>
        </is>
      </c>
      <c r="D67" s="21" t="n">
        <v>1.4621</v>
      </c>
      <c r="E67" s="22" t="n">
        <v>32.738</v>
      </c>
      <c r="F67" s="23" t="n">
        <v>7</v>
      </c>
      <c r="G67" s="24">
        <f>D67*H67</f>
        <v>292.42</v>
      </c>
      <c r="H67" s="25" t="n">
        <v>200</v>
      </c>
    </row>
    <row r="68">
      <c r="A68" s="20" t="inlineStr">
        <is>
          <t>9f2e2387-d8bf-46d3-b5a8-bb607e725380</t>
        </is>
      </c>
      <c r="B68" s="4" t="inlineStr">
        <is>
          <t>Melvan Hoo Jun Hong</t>
        </is>
      </c>
      <c r="C68" s="6" t="inlineStr">
        <is>
          <t>melvanhjh@gmail.com</t>
        </is>
      </c>
      <c r="D68" s="21" t="n">
        <v>1.7514</v>
      </c>
      <c r="E68" s="22" t="n">
        <v>28.2205</v>
      </c>
      <c r="F68" s="23" t="n">
        <v>4</v>
      </c>
      <c r="G68" s="24">
        <f>D68*H68</f>
        <v>350.28000000000003</v>
      </c>
      <c r="H68" s="25" t="n">
        <v>200</v>
      </c>
    </row>
    <row r="69">
      <c r="A69" s="20" t="inlineStr">
        <is>
          <t>3a75a003-7b2b-4a53-b15b-730e2d640ca5</t>
        </is>
      </c>
      <c r="B69" s="4" t="inlineStr">
        <is>
          <t>Melvan Hoo Jun Hong</t>
        </is>
      </c>
      <c r="C69" s="6" t="inlineStr">
        <is>
          <t>melvanhjh@gmail.com</t>
        </is>
      </c>
      <c r="D69" s="21" t="n">
        <v>1.7622</v>
      </c>
      <c r="E69" s="22" t="n">
        <v>5.2005</v>
      </c>
      <c r="F69" s="23" t="n">
        <v>1</v>
      </c>
      <c r="G69" s="24">
        <f>D69*H69</f>
        <v>352.44</v>
      </c>
      <c r="H69" s="25" t="n">
        <v>200</v>
      </c>
    </row>
    <row r="70">
      <c r="A70" s="20" t="inlineStr">
        <is>
          <t>2f090440-45a0-4457-be10-af5601bf2aa2</t>
        </is>
      </c>
      <c r="B70" s="4" t="inlineStr">
        <is>
          <t>Melvan Hoo Jun Hong</t>
        </is>
      </c>
      <c r="C70" s="6" t="inlineStr">
        <is>
          <t>melvanhjh@gmail.com</t>
        </is>
      </c>
      <c r="D70" s="21" t="n">
        <v>2.1885</v>
      </c>
      <c r="E70" s="22" t="n">
        <v>106.2729</v>
      </c>
      <c r="F70" s="23" t="n">
        <v>17</v>
      </c>
      <c r="G70" s="24">
        <f>D70*H70</f>
        <v>437.7</v>
      </c>
      <c r="H70" s="25" t="n">
        <v>200</v>
      </c>
    </row>
    <row r="71">
      <c r="A71" s="20" t="inlineStr">
        <is>
          <t>ac37e6b7-a047-4649-b10e-297e4902ff3a</t>
        </is>
      </c>
      <c r="B71" s="4" t="inlineStr">
        <is>
          <t>Melvan Hoo Jun Hong</t>
        </is>
      </c>
      <c r="C71" s="6" t="inlineStr">
        <is>
          <t>melvanhjh@gmail.com</t>
        </is>
      </c>
      <c r="D71" s="21" t="n">
        <v>3.4053</v>
      </c>
      <c r="E71" s="22" t="n">
        <v>40.6982</v>
      </c>
      <c r="F71" s="23" t="n">
        <v>9</v>
      </c>
      <c r="G71" s="24">
        <f>D71*H71</f>
        <v>681.06</v>
      </c>
      <c r="H71" s="25" t="n">
        <v>200</v>
      </c>
    </row>
    <row r="72">
      <c r="A72" s="20" t="inlineStr">
        <is>
          <t>f8564250-0bf7-4772-9e5c-59355dd12d62</t>
        </is>
      </c>
      <c r="B72" s="4" t="inlineStr">
        <is>
          <t>Alema Louis</t>
        </is>
      </c>
      <c r="C72" s="6" t="inlineStr">
        <is>
          <t>alemalouis4@gmail.com</t>
        </is>
      </c>
      <c r="D72" s="21" t="n">
        <v>0.1385</v>
      </c>
      <c r="E72" s="22" t="n">
        <v>1.1196</v>
      </c>
      <c r="F72" s="23" t="n">
        <v>1</v>
      </c>
      <c r="G72" s="24">
        <f>D72*H72</f>
        <v>20.775000000000002</v>
      </c>
      <c r="H72" s="25" t="n">
        <v>150</v>
      </c>
    </row>
    <row r="73">
      <c r="A73" s="20" t="inlineStr">
        <is>
          <t>f36c273e-e35d-4738-b885-238ce5ec8cb2</t>
        </is>
      </c>
      <c r="B73" s="4" t="inlineStr">
        <is>
          <t>Alema Louis</t>
        </is>
      </c>
      <c r="C73" s="6" t="inlineStr">
        <is>
          <t>alemalouis4@gmail.com</t>
        </is>
      </c>
      <c r="D73" s="21" t="n">
        <v>0.393</v>
      </c>
      <c r="E73" s="22" t="n">
        <v>2.1825</v>
      </c>
      <c r="F73" s="23" t="n">
        <v>2</v>
      </c>
      <c r="G73" s="24">
        <f>D73*H73</f>
        <v>58.95</v>
      </c>
      <c r="H73" s="25" t="n">
        <v>150</v>
      </c>
    </row>
    <row r="74">
      <c r="A74" s="20" t="inlineStr">
        <is>
          <t>5468098b-ec15-45e1-9c2c-59af1c2f1b2b</t>
        </is>
      </c>
      <c r="B74" s="4" t="inlineStr">
        <is>
          <t>Ran Meshulam</t>
        </is>
      </c>
      <c r="C74" s="6" t="inlineStr">
        <is>
          <t>ranchuk4@gmail.com</t>
        </is>
      </c>
      <c r="D74" s="21" t="n">
        <v>0.0233</v>
      </c>
      <c r="E74" s="22" t="n">
        <v>12</v>
      </c>
      <c r="F74" s="23" t="n">
        <v>1</v>
      </c>
      <c r="G74" s="24">
        <f>D74*H74</f>
        <v>3.495</v>
      </c>
      <c r="H74" s="25" t="n">
        <v>150</v>
      </c>
    </row>
    <row r="75">
      <c r="A75" s="20" t="inlineStr">
        <is>
          <t>42e91dc2-01bb-4610-89ff-f6ed598b716c</t>
        </is>
      </c>
      <c r="B75" s="4" t="inlineStr">
        <is>
          <t>Ran Meshulam</t>
        </is>
      </c>
      <c r="C75" s="6" t="inlineStr">
        <is>
          <t>ranchuk4@gmail.com</t>
        </is>
      </c>
      <c r="D75" s="21" t="n">
        <v>0.0262</v>
      </c>
      <c r="E75" s="22" t="n">
        <v>11.3516</v>
      </c>
      <c r="F75" s="23" t="n">
        <v>3</v>
      </c>
      <c r="G75" s="24">
        <f>D75*H75</f>
        <v>3.93</v>
      </c>
      <c r="H75" s="25" t="n">
        <v>150</v>
      </c>
    </row>
    <row r="76">
      <c r="A76" s="20" t="inlineStr">
        <is>
          <t>477e26c4-0caf-494b-b4b1-124138b95dd5</t>
        </is>
      </c>
      <c r="B76" s="4" t="inlineStr">
        <is>
          <t>Ran Meshulam</t>
        </is>
      </c>
      <c r="C76" s="6" t="inlineStr">
        <is>
          <t>ranchuk4@gmail.com</t>
        </is>
      </c>
      <c r="D76" s="21" t="n">
        <v>0.0327</v>
      </c>
      <c r="E76" s="22" t="n">
        <v>1.0138</v>
      </c>
      <c r="F76" s="23" t="n">
        <v>2</v>
      </c>
      <c r="G76" s="24">
        <f>D76*H76</f>
        <v>4.905</v>
      </c>
      <c r="H76" s="25" t="n">
        <v>150</v>
      </c>
    </row>
    <row r="77">
      <c r="A77" s="20" t="inlineStr">
        <is>
          <t>f803351b-4f18-48b3-b184-f2cc87ed31a5</t>
        </is>
      </c>
      <c r="B77" s="4" t="inlineStr">
        <is>
          <t>Ran Meshulam</t>
        </is>
      </c>
      <c r="C77" s="6" t="inlineStr">
        <is>
          <t>ranchuk4@gmail.com</t>
        </is>
      </c>
      <c r="D77" s="21" t="n">
        <v>0.0359</v>
      </c>
      <c r="E77" s="22" t="n">
        <v>2.7708</v>
      </c>
      <c r="F77" s="23" t="n">
        <v>1</v>
      </c>
      <c r="G77" s="24">
        <f>D77*H77</f>
        <v>5.385</v>
      </c>
      <c r="H77" s="25" t="n">
        <v>150</v>
      </c>
    </row>
    <row r="78">
      <c r="A78" s="20" t="inlineStr">
        <is>
          <t>379bb717-ca37-4be2-b42b-ab6ee5cbc1ae</t>
        </is>
      </c>
      <c r="B78" s="4" t="inlineStr">
        <is>
          <t>Ran Meshulam</t>
        </is>
      </c>
      <c r="C78" s="6" t="inlineStr">
        <is>
          <t>ranchuk4@gmail.com</t>
        </is>
      </c>
      <c r="D78" s="21" t="n">
        <v>0.0746</v>
      </c>
      <c r="E78" s="22" t="n">
        <v>3.122</v>
      </c>
      <c r="F78" s="23" t="n">
        <v>2</v>
      </c>
      <c r="G78" s="24">
        <f>D78*H78</f>
        <v>11.19</v>
      </c>
      <c r="H78" s="25" t="n">
        <v>150</v>
      </c>
    </row>
    <row r="79">
      <c r="A79" s="20" t="inlineStr">
        <is>
          <t>e6dbb3c6-5cf7-4cd3-9fd6-05fd60dce81b</t>
        </is>
      </c>
      <c r="B79" s="4" t="inlineStr">
        <is>
          <t>Ran Meshulam</t>
        </is>
      </c>
      <c r="C79" s="6" t="inlineStr">
        <is>
          <t>ranchuk4@gmail.com</t>
        </is>
      </c>
      <c r="D79" s="21" t="n">
        <v>0.09379999999999999</v>
      </c>
      <c r="E79" s="22" t="n">
        <v>13.7267</v>
      </c>
      <c r="F79" s="23" t="n">
        <v>4</v>
      </c>
      <c r="G79" s="24">
        <f>D79*H79</f>
        <v>14.069999999999999</v>
      </c>
      <c r="H79" s="25" t="n">
        <v>150</v>
      </c>
    </row>
    <row r="80">
      <c r="A80" s="20" t="inlineStr">
        <is>
          <t>2ab9b9b2-dc32-4679-b891-b3c8330141e7</t>
        </is>
      </c>
      <c r="B80" s="4" t="inlineStr">
        <is>
          <t>Ran Meshulam</t>
        </is>
      </c>
      <c r="C80" s="6" t="inlineStr">
        <is>
          <t>ranchuk4@gmail.com</t>
        </is>
      </c>
      <c r="D80" s="21" t="n">
        <v>0.1124</v>
      </c>
      <c r="E80" s="22" t="n">
        <v>1.1907</v>
      </c>
      <c r="F80" s="23" t="n">
        <v>2</v>
      </c>
      <c r="G80" s="24">
        <f>D80*H80</f>
        <v>16.86</v>
      </c>
      <c r="H80" s="25" t="n">
        <v>150</v>
      </c>
    </row>
    <row r="81">
      <c r="A81" s="20" t="inlineStr">
        <is>
          <t>35d33a68-631c-49dd-bbd3-5ef54d7e6157</t>
        </is>
      </c>
      <c r="B81" s="4" t="inlineStr">
        <is>
          <t>Ran Meshulam</t>
        </is>
      </c>
      <c r="C81" s="6" t="inlineStr">
        <is>
          <t>ranchuk4@gmail.com</t>
        </is>
      </c>
      <c r="D81" s="21" t="n">
        <v>0.139</v>
      </c>
      <c r="E81" s="22" t="n">
        <v>5.4448</v>
      </c>
      <c r="F81" s="23" t="n">
        <v>3</v>
      </c>
      <c r="G81" s="24">
        <f>D81*H81</f>
        <v>20.85</v>
      </c>
      <c r="H81" s="25" t="n">
        <v>150</v>
      </c>
    </row>
    <row r="82">
      <c r="A82" s="20" t="inlineStr">
        <is>
          <t>6a50c56d-1860-4cb8-8e52-dea4732a0809</t>
        </is>
      </c>
      <c r="B82" s="4" t="inlineStr">
        <is>
          <t>Ran Meshulam</t>
        </is>
      </c>
      <c r="C82" s="6" t="inlineStr">
        <is>
          <t>ranchuk4@gmail.com</t>
        </is>
      </c>
      <c r="D82" s="21" t="n">
        <v>0.1536</v>
      </c>
      <c r="E82" s="22" t="n">
        <v>24.03</v>
      </c>
      <c r="F82" s="23" t="n">
        <v>3</v>
      </c>
      <c r="G82" s="24">
        <f>D82*H82</f>
        <v>23.04</v>
      </c>
      <c r="H82" s="25" t="n">
        <v>150</v>
      </c>
    </row>
    <row r="83">
      <c r="A83" s="20" t="inlineStr">
        <is>
          <t>d79dff2b-03e3-4094-8469-fb3b41cc2401</t>
        </is>
      </c>
      <c r="B83" s="4" t="inlineStr">
        <is>
          <t>Ran Meshulam</t>
        </is>
      </c>
      <c r="C83" s="6" t="inlineStr">
        <is>
          <t>ranchuk4@gmail.com</t>
        </is>
      </c>
      <c r="D83" s="21" t="n">
        <v>0.1658</v>
      </c>
      <c r="E83" s="22" t="n">
        <v>12.3693</v>
      </c>
      <c r="F83" s="23" t="n">
        <v>2</v>
      </c>
      <c r="G83" s="24">
        <f>D83*H83</f>
        <v>24.87</v>
      </c>
      <c r="H83" s="25" t="n">
        <v>150</v>
      </c>
    </row>
    <row r="84">
      <c r="A84" s="20" t="inlineStr">
        <is>
          <t>8738754e-4108-4517-b665-bd6462d41fda</t>
        </is>
      </c>
      <c r="B84" s="4" t="inlineStr">
        <is>
          <t>Ran Meshulam</t>
        </is>
      </c>
      <c r="C84" s="6" t="inlineStr">
        <is>
          <t>ranchuk4@gmail.com</t>
        </is>
      </c>
      <c r="D84" s="21" t="n">
        <v>0.1928</v>
      </c>
      <c r="E84" s="22" t="n">
        <v>11.1273</v>
      </c>
      <c r="F84" s="23" t="n">
        <v>2</v>
      </c>
      <c r="G84" s="24">
        <f>D84*H84</f>
        <v>28.919999999999998</v>
      </c>
      <c r="H84" s="25" t="n">
        <v>150</v>
      </c>
    </row>
    <row r="85">
      <c r="A85" s="20" t="inlineStr">
        <is>
          <t>dbf51ada-2e22-4348-a240-72b0b72fd20d</t>
        </is>
      </c>
      <c r="B85" s="4" t="inlineStr">
        <is>
          <t>Ran Meshulam</t>
        </is>
      </c>
      <c r="C85" s="6" t="inlineStr">
        <is>
          <t>ranchuk4@gmail.com</t>
        </is>
      </c>
      <c r="D85" s="21" t="n">
        <v>0.1939</v>
      </c>
      <c r="E85" s="22" t="n">
        <v>12.6105</v>
      </c>
      <c r="F85" s="23" t="n">
        <v>3</v>
      </c>
      <c r="G85" s="24">
        <f>D85*H85</f>
        <v>29.084999999999997</v>
      </c>
      <c r="H85" s="25" t="n">
        <v>150</v>
      </c>
    </row>
    <row r="86">
      <c r="A86" s="20" t="inlineStr">
        <is>
          <t>a220c9a7-e967-4576-8f12-54c72e6b14a0</t>
        </is>
      </c>
      <c r="B86" s="4" t="inlineStr">
        <is>
          <t>Ran Meshulam</t>
        </is>
      </c>
      <c r="C86" s="6" t="inlineStr">
        <is>
          <t>ranchuk4@gmail.com</t>
        </is>
      </c>
      <c r="D86" s="21" t="n">
        <v>0.2036</v>
      </c>
      <c r="E86" s="22" t="n">
        <v>12.3785</v>
      </c>
      <c r="F86" s="23" t="n">
        <v>3</v>
      </c>
      <c r="G86" s="24">
        <f>D86*H86</f>
        <v>30.54</v>
      </c>
      <c r="H86" s="25" t="n">
        <v>150</v>
      </c>
    </row>
    <row r="87">
      <c r="A87" s="20" t="inlineStr">
        <is>
          <t>9d9557f8-2dda-4232-a777-b1deb95be8da</t>
        </is>
      </c>
      <c r="B87" s="4" t="inlineStr">
        <is>
          <t>Ran Meshulam</t>
        </is>
      </c>
      <c r="C87" s="6" t="inlineStr">
        <is>
          <t>ranchuk4@gmail.com</t>
        </is>
      </c>
      <c r="D87" s="21" t="n">
        <v>0.2167</v>
      </c>
      <c r="E87" s="22" t="n">
        <v>12.5852</v>
      </c>
      <c r="F87" s="23" t="n">
        <v>2</v>
      </c>
      <c r="G87" s="24">
        <f>D87*H87</f>
        <v>32.505</v>
      </c>
      <c r="H87" s="25" t="n">
        <v>150</v>
      </c>
    </row>
    <row r="88">
      <c r="A88" s="20" t="inlineStr">
        <is>
          <t>1f1c18f9-1cb7-404f-be97-d25edeacab18</t>
        </is>
      </c>
      <c r="B88" s="4" t="inlineStr">
        <is>
          <t>Ran Meshulam</t>
        </is>
      </c>
      <c r="C88" s="6" t="inlineStr">
        <is>
          <t>ranchuk4@gmail.com</t>
        </is>
      </c>
      <c r="D88" s="21" t="n">
        <v>0.2737</v>
      </c>
      <c r="E88" s="22" t="n">
        <v>25.6597</v>
      </c>
      <c r="F88" s="23" t="n">
        <v>3</v>
      </c>
      <c r="G88" s="24">
        <f>D88*H88</f>
        <v>41.055</v>
      </c>
      <c r="H88" s="25" t="n">
        <v>150</v>
      </c>
    </row>
    <row r="89">
      <c r="A89" s="20" t="inlineStr">
        <is>
          <t>e771fc37-5e2a-4215-8045-572e0cd9b5e3</t>
        </is>
      </c>
      <c r="B89" s="4" t="inlineStr">
        <is>
          <t>Ran Meshulam</t>
        </is>
      </c>
      <c r="C89" s="6" t="inlineStr">
        <is>
          <t>ranchuk4@gmail.com</t>
        </is>
      </c>
      <c r="D89" s="21" t="n">
        <v>0.3036</v>
      </c>
      <c r="E89" s="22" t="n">
        <v>12.0833</v>
      </c>
      <c r="F89" s="23" t="n">
        <v>2</v>
      </c>
      <c r="G89" s="24">
        <f>D89*H89</f>
        <v>45.54</v>
      </c>
      <c r="H89" s="25" t="n">
        <v>150</v>
      </c>
    </row>
    <row r="90">
      <c r="A90" s="20" t="inlineStr">
        <is>
          <t>98f10cf5-97dc-46bc-967f-4ed893936a98</t>
        </is>
      </c>
      <c r="B90" s="4" t="inlineStr">
        <is>
          <t>Ran Meshulam</t>
        </is>
      </c>
      <c r="C90" s="6" t="inlineStr">
        <is>
          <t>ranchuk4@gmail.com</t>
        </is>
      </c>
      <c r="D90" s="21" t="n">
        <v>0.4033</v>
      </c>
      <c r="E90" s="22" t="n">
        <v>32.0838</v>
      </c>
      <c r="F90" s="23" t="n">
        <v>11</v>
      </c>
      <c r="G90" s="24">
        <f>D90*H90</f>
        <v>60.495</v>
      </c>
      <c r="H90" s="25" t="n">
        <v>150</v>
      </c>
    </row>
    <row r="91">
      <c r="A91" s="20" t="inlineStr">
        <is>
          <t>31af2cd3-65e1-46bd-812a-72e21ce6e186</t>
        </is>
      </c>
      <c r="B91" s="4" t="inlineStr">
        <is>
          <t>Ran Meshulam</t>
        </is>
      </c>
      <c r="C91" s="6" t="inlineStr">
        <is>
          <t>ranchuk4@gmail.com</t>
        </is>
      </c>
      <c r="D91" s="21" t="n">
        <v>0.4085</v>
      </c>
      <c r="E91" s="22" t="n">
        <v>6.2519</v>
      </c>
      <c r="F91" s="23" t="n">
        <v>3</v>
      </c>
      <c r="G91" s="24">
        <f>D91*H91</f>
        <v>61.275</v>
      </c>
      <c r="H91" s="25" t="n">
        <v>150</v>
      </c>
    </row>
    <row r="92">
      <c r="A92" s="20" t="inlineStr">
        <is>
          <t>677f1dbd-886b-4aec-848b-f84bb8bdfb5a</t>
        </is>
      </c>
      <c r="B92" s="4" t="inlineStr">
        <is>
          <t>Ran Meshulam</t>
        </is>
      </c>
      <c r="C92" s="6" t="inlineStr">
        <is>
          <t>ranchuk4@gmail.com</t>
        </is>
      </c>
      <c r="D92" s="21" t="n">
        <v>0.4949</v>
      </c>
      <c r="E92" s="22" t="n">
        <v>38.3033</v>
      </c>
      <c r="F92" s="23" t="n">
        <v>11</v>
      </c>
      <c r="G92" s="24">
        <f>D92*H92</f>
        <v>74.235</v>
      </c>
      <c r="H92" s="25" t="n">
        <v>150</v>
      </c>
    </row>
    <row r="93">
      <c r="A93" s="20" t="inlineStr">
        <is>
          <t>6af3b2e7-5257-458f-8144-c5ae8fed7d5a</t>
        </is>
      </c>
      <c r="B93" s="4" t="inlineStr">
        <is>
          <t>Ran Meshulam</t>
        </is>
      </c>
      <c r="C93" s="6" t="inlineStr">
        <is>
          <t>ranchuk4@gmail.com</t>
        </is>
      </c>
      <c r="D93" s="21" t="n">
        <v>0.498</v>
      </c>
      <c r="E93" s="22" t="n">
        <v>10.834</v>
      </c>
      <c r="F93" s="23" t="n">
        <v>8</v>
      </c>
      <c r="G93" s="24">
        <f>D93*H93</f>
        <v>74.7</v>
      </c>
      <c r="H93" s="25" t="n">
        <v>150</v>
      </c>
    </row>
    <row r="94">
      <c r="A94" s="20" t="inlineStr">
        <is>
          <t>9eabf883-bafa-468e-8c0b-9c0e8334eca8</t>
        </is>
      </c>
      <c r="B94" s="4" t="inlineStr">
        <is>
          <t>Ran Meshulam</t>
        </is>
      </c>
      <c r="C94" s="6" t="inlineStr">
        <is>
          <t>ranchuk4@gmail.com</t>
        </is>
      </c>
      <c r="D94" s="21" t="n">
        <v>0.6035</v>
      </c>
      <c r="E94" s="22" t="n">
        <v>24.6542</v>
      </c>
      <c r="F94" s="23" t="n">
        <v>4</v>
      </c>
      <c r="G94" s="24">
        <f>D94*H94</f>
        <v>90.525</v>
      </c>
      <c r="H94" s="25" t="n">
        <v>150</v>
      </c>
    </row>
    <row r="95">
      <c r="A95" s="20" t="inlineStr">
        <is>
          <t>51d73f64-1cc1-4cc6-ac2e-5a7abd1a0f21</t>
        </is>
      </c>
      <c r="B95" s="4" t="inlineStr">
        <is>
          <t>Ran Meshulam</t>
        </is>
      </c>
      <c r="C95" s="6" t="inlineStr">
        <is>
          <t>ranchuk4@gmail.com</t>
        </is>
      </c>
      <c r="D95" s="21" t="n">
        <v>1.2236</v>
      </c>
      <c r="E95" s="22" t="n">
        <v>27.8094</v>
      </c>
      <c r="F95" s="23" t="n">
        <v>5</v>
      </c>
      <c r="G95" s="24">
        <f>D95*H95</f>
        <v>183.54</v>
      </c>
      <c r="H95" s="25" t="n">
        <v>150</v>
      </c>
    </row>
    <row r="96">
      <c r="A96" s="20" t="inlineStr">
        <is>
          <t>869a065e-6893-4d55-a103-85da8e452632</t>
        </is>
      </c>
      <c r="B96" s="4" t="inlineStr">
        <is>
          <t>Ran Meshulam</t>
        </is>
      </c>
      <c r="C96" s="6" t="inlineStr">
        <is>
          <t>ranchuk4@gmail.com</t>
        </is>
      </c>
      <c r="D96" s="21" t="n">
        <v>1.4689</v>
      </c>
      <c r="E96" s="22" t="n">
        <v>16.3923</v>
      </c>
      <c r="F96" s="23" t="n">
        <v>7</v>
      </c>
      <c r="G96" s="24">
        <f>D96*H96</f>
        <v>220.335</v>
      </c>
      <c r="H96" s="25" t="n">
        <v>150</v>
      </c>
    </row>
    <row r="97">
      <c r="A97" s="20" t="inlineStr">
        <is>
          <t>357bfb10-dfe5-469f-8c91-564eb4afff2b</t>
        </is>
      </c>
      <c r="B97" s="4" t="inlineStr">
        <is>
          <t>Ran Meshulam</t>
        </is>
      </c>
      <c r="C97" s="6" t="inlineStr">
        <is>
          <t>ranchuk4@gmail.com</t>
        </is>
      </c>
      <c r="D97" s="21" t="n">
        <v>1.9347</v>
      </c>
      <c r="E97" s="22" t="n">
        <v>16.4269</v>
      </c>
      <c r="F97" s="23" t="n">
        <v>4</v>
      </c>
      <c r="G97" s="24">
        <f>D97*H97</f>
        <v>290.20500000000004</v>
      </c>
      <c r="H97" s="25" t="n">
        <v>150</v>
      </c>
    </row>
    <row r="98">
      <c r="A98" s="20" t="inlineStr">
        <is>
          <t>11496ce4-6249-4195-bb18-2ac1008ce896</t>
        </is>
      </c>
      <c r="B98" s="4" t="inlineStr">
        <is>
          <t>Ran Meshulam</t>
        </is>
      </c>
      <c r="C98" s="6" t="inlineStr">
        <is>
          <t>ranchuk4@gmail.com</t>
        </is>
      </c>
      <c r="D98" s="21" t="n">
        <v>2.0132</v>
      </c>
      <c r="E98" s="22" t="n">
        <v>30.8109</v>
      </c>
      <c r="F98" s="23" t="n">
        <v>5</v>
      </c>
      <c r="G98" s="24">
        <f>D98*H98</f>
        <v>301.97999999999996</v>
      </c>
      <c r="H98" s="25" t="n">
        <v>150</v>
      </c>
    </row>
    <row r="99">
      <c r="A99" s="20" t="inlineStr">
        <is>
          <t>271122e1-448b-486e-a97a-2203351100d4</t>
        </is>
      </c>
      <c r="B99" s="4" t="inlineStr">
        <is>
          <t>Ran Meshulam</t>
        </is>
      </c>
      <c r="C99" s="6" t="inlineStr">
        <is>
          <t>ranchuk4@gmail.com</t>
        </is>
      </c>
      <c r="D99" s="21" t="n">
        <v>2.0924</v>
      </c>
      <c r="E99" s="22" t="n">
        <v>31.1501</v>
      </c>
      <c r="F99" s="23" t="n">
        <v>6</v>
      </c>
      <c r="G99" s="24">
        <f>D99*H99</f>
        <v>313.86</v>
      </c>
      <c r="H99" s="25" t="n">
        <v>150</v>
      </c>
    </row>
    <row r="100">
      <c r="A100" s="20" t="inlineStr">
        <is>
          <t>b15ba46f-3823-499c-890d-5024df7cd7ba</t>
        </is>
      </c>
      <c r="B100" s="4" t="inlineStr">
        <is>
          <t>Ran Meshulam</t>
        </is>
      </c>
      <c r="C100" s="6" t="inlineStr">
        <is>
          <t>ranchuk4@gmail.com</t>
        </is>
      </c>
      <c r="D100" s="21" t="n">
        <v>2.3619</v>
      </c>
      <c r="E100" s="22" t="n">
        <v>12</v>
      </c>
      <c r="F100" s="23" t="n">
        <v>2</v>
      </c>
      <c r="G100" s="24">
        <f>D100*H100</f>
        <v>354.28499999999997</v>
      </c>
      <c r="H100" s="25" t="n">
        <v>150</v>
      </c>
    </row>
    <row r="101">
      <c r="A101" s="20" t="inlineStr">
        <is>
          <t>6704b27e-aaf7-4c87-9ca1-101b5b13c427</t>
        </is>
      </c>
      <c r="B101" s="4" t="inlineStr">
        <is>
          <t>Ran Meshulam</t>
        </is>
      </c>
      <c r="C101" s="6" t="inlineStr">
        <is>
          <t>ranchuk4@gmail.com</t>
        </is>
      </c>
      <c r="D101" s="21" t="n">
        <v>2.9531</v>
      </c>
      <c r="E101" s="22" t="n">
        <v>25.9449</v>
      </c>
      <c r="F101" s="23" t="n">
        <v>3</v>
      </c>
      <c r="G101" s="24">
        <f>D101*H101</f>
        <v>442.96500000000003</v>
      </c>
      <c r="H101" s="25" t="n">
        <v>150</v>
      </c>
    </row>
    <row r="102">
      <c r="A102" s="20" t="inlineStr">
        <is>
          <t>1846e0e8-97eb-4d18-bed9-53812950bfbe</t>
        </is>
      </c>
      <c r="B102" s="4" t="inlineStr">
        <is>
          <t>Ran Meshulam</t>
        </is>
      </c>
      <c r="C102" s="6" t="inlineStr">
        <is>
          <t>ranchuk4@gmail.com</t>
        </is>
      </c>
      <c r="D102" s="21" t="n">
        <v>4.6739</v>
      </c>
      <c r="E102" s="22" t="n">
        <v>63.9883</v>
      </c>
      <c r="F102" s="23" t="n">
        <v>7</v>
      </c>
      <c r="G102" s="24">
        <f>D102*H102</f>
        <v>701.0849999999999</v>
      </c>
      <c r="H102" s="25" t="n">
        <v>150</v>
      </c>
    </row>
    <row r="103">
      <c r="A103" s="20" t="inlineStr">
        <is>
          <t>bf5e4314-8d36-48ec-b66c-80950c750916</t>
        </is>
      </c>
      <c r="B103" s="4" t="inlineStr">
        <is>
          <t>Ran Meshulam</t>
        </is>
      </c>
      <c r="C103" s="6" t="inlineStr">
        <is>
          <t>ranchuk4@gmail.com</t>
        </is>
      </c>
      <c r="D103" s="21" t="n">
        <v>5.9113</v>
      </c>
      <c r="E103" s="22" t="n">
        <v>56.6162</v>
      </c>
      <c r="F103" s="23" t="n">
        <v>9</v>
      </c>
      <c r="G103" s="24">
        <f>D103*H103</f>
        <v>886.6949999999999</v>
      </c>
      <c r="H103" s="25" t="n">
        <v>150</v>
      </c>
    </row>
    <row r="104">
      <c r="A104" s="20" t="inlineStr">
        <is>
          <t>22260330-60c1-4d47-b346-3bc204285ccf</t>
        </is>
      </c>
      <c r="B104" s="4" t="inlineStr">
        <is>
          <t>Ran Meshulam</t>
        </is>
      </c>
      <c r="C104" s="6" t="inlineStr">
        <is>
          <t>ranchuk4@gmail.com</t>
        </is>
      </c>
      <c r="D104" s="21" t="n">
        <v>10.758</v>
      </c>
      <c r="E104" s="22" t="n">
        <v>14.7339</v>
      </c>
      <c r="F104" s="23" t="n">
        <v>3</v>
      </c>
      <c r="G104" s="24">
        <f>D104*H104</f>
        <v>1613.6999999999998</v>
      </c>
      <c r="H104" s="25" t="n">
        <v>150</v>
      </c>
    </row>
    <row r="105">
      <c r="A105" s="20" t="inlineStr">
        <is>
          <t>4716d8b6-018c-482f-853c-8eeaa3a93167</t>
        </is>
      </c>
      <c r="B105" s="4" t="inlineStr">
        <is>
          <t>Andy Deng</t>
        </is>
      </c>
      <c r="C105" s="6" t="inlineStr">
        <is>
          <t>ajhdeng@gmail.com</t>
        </is>
      </c>
      <c r="D105" s="21" t="n">
        <v>0</v>
      </c>
      <c r="E105" s="22" t="n">
        <v>42.1822</v>
      </c>
      <c r="F105" s="23" t="n">
        <v>6</v>
      </c>
      <c r="G105" s="24">
        <f>D105*H105</f>
        <v>0</v>
      </c>
      <c r="H105" s="25" t="n">
        <v>150</v>
      </c>
    </row>
    <row r="106">
      <c r="A106" s="20" t="inlineStr">
        <is>
          <t>a3326b04-80b5-4e91-b4f8-99d4f9f30da4</t>
        </is>
      </c>
      <c r="B106" s="4" t="inlineStr">
        <is>
          <t>Andy Deng</t>
        </is>
      </c>
      <c r="C106" s="6" t="inlineStr">
        <is>
          <t>ajhdeng@gmail.com</t>
        </is>
      </c>
      <c r="D106" s="21" t="n">
        <v>0</v>
      </c>
      <c r="E106" s="22" t="n">
        <v>13.4827</v>
      </c>
      <c r="F106" s="23" t="n">
        <v>3</v>
      </c>
      <c r="G106" s="24">
        <f>D106*H106</f>
        <v>0</v>
      </c>
      <c r="H106" s="25" t="n">
        <v>150</v>
      </c>
    </row>
    <row r="107">
      <c r="A107" s="20" t="inlineStr">
        <is>
          <t>6c1d8bf3-4daa-4e31-8fd9-e7608799e2aa</t>
        </is>
      </c>
      <c r="B107" s="4" t="inlineStr">
        <is>
          <t>Andy Deng</t>
        </is>
      </c>
      <c r="C107" s="6" t="inlineStr">
        <is>
          <t>ajhdeng@gmail.com</t>
        </is>
      </c>
      <c r="D107" s="21" t="n">
        <v>0.0292</v>
      </c>
      <c r="E107" s="22" t="n">
        <v>2.9071</v>
      </c>
      <c r="F107" s="23" t="n">
        <v>1</v>
      </c>
      <c r="G107" s="24">
        <f>D107*H107</f>
        <v>4.38</v>
      </c>
      <c r="H107" s="25" t="n">
        <v>150</v>
      </c>
    </row>
    <row r="108">
      <c r="A108" s="20" t="inlineStr">
        <is>
          <t>944cffd1-93fc-4a27-9725-a02ae1eb5692</t>
        </is>
      </c>
      <c r="B108" s="4" t="inlineStr">
        <is>
          <t>Andy Deng</t>
        </is>
      </c>
      <c r="C108" s="6" t="inlineStr">
        <is>
          <t>ajhdeng@gmail.com</t>
        </is>
      </c>
      <c r="D108" s="21" t="n">
        <v>0.2334</v>
      </c>
      <c r="E108" s="22" t="n">
        <v>2.0658</v>
      </c>
      <c r="F108" s="23" t="n">
        <v>1</v>
      </c>
      <c r="G108" s="24">
        <f>D108*H108</f>
        <v>35.01</v>
      </c>
      <c r="H108" s="25" t="n">
        <v>150</v>
      </c>
    </row>
    <row r="109">
      <c r="A109" s="20" t="inlineStr">
        <is>
          <t>c40b57eb-eedc-499f-97c1-f27e56a993b0</t>
        </is>
      </c>
      <c r="B109" s="4" t="inlineStr">
        <is>
          <t>Andy Deng</t>
        </is>
      </c>
      <c r="C109" s="6" t="inlineStr">
        <is>
          <t>ajhdeng@gmail.com</t>
        </is>
      </c>
      <c r="D109" s="21" t="n">
        <v>0.3325</v>
      </c>
      <c r="E109" s="22" t="n">
        <v>38.6811</v>
      </c>
      <c r="F109" s="23" t="n">
        <v>4</v>
      </c>
      <c r="G109" s="24">
        <f>D109*H109</f>
        <v>49.875</v>
      </c>
      <c r="H109" s="25" t="n">
        <v>150</v>
      </c>
    </row>
    <row r="110">
      <c r="A110" s="20" t="inlineStr">
        <is>
          <t>9e1301db-91f1-4c8e-9fc6-8f8007e94f27</t>
        </is>
      </c>
      <c r="B110" s="4" t="inlineStr">
        <is>
          <t>Andy Deng</t>
        </is>
      </c>
      <c r="C110" s="6" t="inlineStr">
        <is>
          <t>ajhdeng@gmail.com</t>
        </is>
      </c>
      <c r="D110" s="21" t="n">
        <v>0.3717</v>
      </c>
      <c r="E110" s="22" t="n">
        <v>36.198</v>
      </c>
      <c r="F110" s="23" t="n">
        <v>5</v>
      </c>
      <c r="G110" s="24">
        <f>D110*H110</f>
        <v>55.754999999999995</v>
      </c>
      <c r="H110" s="25" t="n">
        <v>150</v>
      </c>
    </row>
    <row r="111">
      <c r="A111" s="20" t="inlineStr">
        <is>
          <t>678592a0-a571-4a1d-a700-8d011c6c2bc3</t>
        </is>
      </c>
      <c r="B111" s="4" t="inlineStr">
        <is>
          <t>Andy Deng</t>
        </is>
      </c>
      <c r="C111" s="6" t="inlineStr">
        <is>
          <t>ajhdeng@gmail.com</t>
        </is>
      </c>
      <c r="D111" s="21" t="n">
        <v>0.3917</v>
      </c>
      <c r="E111" s="22" t="n">
        <v>24.2569</v>
      </c>
      <c r="F111" s="23" t="n">
        <v>3</v>
      </c>
      <c r="G111" s="24">
        <f>D111*H111</f>
        <v>58.754999999999995</v>
      </c>
      <c r="H111" s="25" t="n">
        <v>150</v>
      </c>
    </row>
    <row r="112">
      <c r="A112" s="20" t="inlineStr">
        <is>
          <t>390f67a6-df19-421b-b54d-d99e49b900d2</t>
        </is>
      </c>
      <c r="B112" s="4" t="inlineStr">
        <is>
          <t>Andy Deng</t>
        </is>
      </c>
      <c r="C112" s="6" t="inlineStr">
        <is>
          <t>ajhdeng@gmail.com</t>
        </is>
      </c>
      <c r="D112" s="21" t="n">
        <v>0.4368</v>
      </c>
      <c r="E112" s="22" t="n">
        <v>29.8361</v>
      </c>
      <c r="F112" s="23" t="n">
        <v>3</v>
      </c>
      <c r="G112" s="24">
        <f>D112*H112</f>
        <v>65.52000000000001</v>
      </c>
      <c r="H112" s="25" t="n">
        <v>150</v>
      </c>
    </row>
    <row r="113">
      <c r="A113" s="20" t="inlineStr">
        <is>
          <t>0a60a696-6002-4913-838a-f6509930cd63</t>
        </is>
      </c>
      <c r="B113" s="4" t="inlineStr">
        <is>
          <t>Andy Deng</t>
        </is>
      </c>
      <c r="C113" s="6" t="inlineStr">
        <is>
          <t>ajhdeng@gmail.com</t>
        </is>
      </c>
      <c r="D113" s="21" t="n">
        <v>0.8266</v>
      </c>
      <c r="E113" s="22" t="n">
        <v>43.2436</v>
      </c>
      <c r="F113" s="23" t="n">
        <v>7</v>
      </c>
      <c r="G113" s="24">
        <f>D113*H113</f>
        <v>123.99</v>
      </c>
      <c r="H113" s="25" t="n">
        <v>150</v>
      </c>
    </row>
    <row r="114">
      <c r="A114" s="20" t="inlineStr">
        <is>
          <t>379b3b20-2eeb-4051-895a-2e8b21d327da</t>
        </is>
      </c>
      <c r="B114" s="4" t="inlineStr">
        <is>
          <t>Andy Deng</t>
        </is>
      </c>
      <c r="C114" s="6" t="inlineStr">
        <is>
          <t>ajhdeng@gmail.com</t>
        </is>
      </c>
      <c r="D114" s="21" t="n">
        <v>1.1235</v>
      </c>
      <c r="E114" s="22" t="n">
        <v>2.7908</v>
      </c>
      <c r="F114" s="23" t="n">
        <v>1</v>
      </c>
      <c r="G114" s="24">
        <f>D114*H114</f>
        <v>168.52499999999998</v>
      </c>
      <c r="H114" s="25" t="n">
        <v>150</v>
      </c>
    </row>
    <row r="115">
      <c r="A115" s="20" t="inlineStr">
        <is>
          <t>f31f50b6-8ae5-4362-9e40-9e55560ed9dd</t>
        </is>
      </c>
      <c r="B115" s="4" t="inlineStr">
        <is>
          <t>Alex Moon</t>
        </is>
      </c>
      <c r="C115" s="6" t="inlineStr">
        <is>
          <t>alexmoon1212@gmail.com</t>
        </is>
      </c>
      <c r="D115" s="21" t="n">
        <v>0.0033</v>
      </c>
      <c r="E115" s="22" t="n">
        <v>0.0633</v>
      </c>
      <c r="F115" s="23" t="n">
        <v>1</v>
      </c>
      <c r="G115" s="24">
        <f>D115*H115</f>
        <v>0.495</v>
      </c>
      <c r="H115" s="25" t="n">
        <v>150</v>
      </c>
    </row>
    <row r="116">
      <c r="A116" s="20" t="inlineStr">
        <is>
          <t>91c19b38-61f8-4126-85c3-a054051987e6</t>
        </is>
      </c>
      <c r="B116" s="4" t="inlineStr">
        <is>
          <t>Alex Moon</t>
        </is>
      </c>
      <c r="C116" s="6" t="inlineStr">
        <is>
          <t>alexmoon1212@gmail.com</t>
        </is>
      </c>
      <c r="D116" s="21" t="n">
        <v>0.0047</v>
      </c>
      <c r="E116" s="22" t="n">
        <v>0.0912</v>
      </c>
      <c r="F116" s="23" t="n">
        <v>1</v>
      </c>
      <c r="G116" s="24">
        <f>D116*H116</f>
        <v>0.7050000000000001</v>
      </c>
      <c r="H116" s="25" t="n">
        <v>150</v>
      </c>
    </row>
    <row r="117">
      <c r="A117" s="20" t="inlineStr">
        <is>
          <t>c4bfd3b9-503c-4fb4-ba33-8f83980ca276</t>
        </is>
      </c>
      <c r="B117" s="4" t="inlineStr">
        <is>
          <t>Alex Moon</t>
        </is>
      </c>
      <c r="C117" s="6" t="inlineStr">
        <is>
          <t>alexmoon1212@gmail.com</t>
        </is>
      </c>
      <c r="D117" s="21" t="n">
        <v>0.0119</v>
      </c>
      <c r="E117" s="22" t="n">
        <v>0.3735</v>
      </c>
      <c r="F117" s="23" t="n">
        <v>2</v>
      </c>
      <c r="G117" s="24">
        <f>D117*H117</f>
        <v>1.7850000000000001</v>
      </c>
      <c r="H117" s="25" t="n">
        <v>150</v>
      </c>
    </row>
    <row r="118">
      <c r="A118" s="20" t="inlineStr">
        <is>
          <t>ecbc66e1-c4aa-4e43-b4e8-b3dd40b7515b</t>
        </is>
      </c>
      <c r="B118" s="4" t="inlineStr">
        <is>
          <t>Alex Moon</t>
        </is>
      </c>
      <c r="C118" s="6" t="inlineStr">
        <is>
          <t>alexmoon1212@gmail.com</t>
        </is>
      </c>
      <c r="D118" s="21" t="n">
        <v>0.0139</v>
      </c>
      <c r="E118" s="22" t="n">
        <v>0.4322</v>
      </c>
      <c r="F118" s="23" t="n">
        <v>1</v>
      </c>
      <c r="G118" s="24">
        <f>D118*H118</f>
        <v>2.085</v>
      </c>
      <c r="H118" s="25" t="n">
        <v>150</v>
      </c>
    </row>
    <row r="119">
      <c r="A119" s="20" t="inlineStr">
        <is>
          <t>355887a5-263a-4f44-884a-28544efecc07</t>
        </is>
      </c>
      <c r="B119" s="4" t="inlineStr">
        <is>
          <t>Alex Moon</t>
        </is>
      </c>
      <c r="C119" s="6" t="inlineStr">
        <is>
          <t>alexmoon1212@gmail.com</t>
        </is>
      </c>
      <c r="D119" s="21" t="n">
        <v>0.0152</v>
      </c>
      <c r="E119" s="22" t="n">
        <v>0.5738</v>
      </c>
      <c r="F119" s="23" t="n">
        <v>1</v>
      </c>
      <c r="G119" s="24">
        <f>D119*H119</f>
        <v>2.28</v>
      </c>
      <c r="H119" s="25" t="n">
        <v>150</v>
      </c>
    </row>
    <row r="120">
      <c r="A120" s="20" t="inlineStr">
        <is>
          <t>85281558-d3b6-498a-a9a8-e33267374a0d</t>
        </is>
      </c>
      <c r="B120" s="4" t="inlineStr">
        <is>
          <t>Alex Moon</t>
        </is>
      </c>
      <c r="C120" s="6" t="inlineStr">
        <is>
          <t>alexmoon1212@gmail.com</t>
        </is>
      </c>
      <c r="D120" s="21" t="n">
        <v>0.0199</v>
      </c>
      <c r="E120" s="22" t="n">
        <v>6.3196</v>
      </c>
      <c r="F120" s="23" t="n">
        <v>1</v>
      </c>
      <c r="G120" s="24">
        <f>D120*H120</f>
        <v>2.9850000000000003</v>
      </c>
      <c r="H120" s="25" t="n">
        <v>150</v>
      </c>
    </row>
    <row r="121">
      <c r="A121" s="20" t="inlineStr">
        <is>
          <t>55f9f1d3-6682-45b5-a9a6-cff93e36d442</t>
        </is>
      </c>
      <c r="B121" s="4" t="inlineStr">
        <is>
          <t>Alex Moon</t>
        </is>
      </c>
      <c r="C121" s="6" t="inlineStr">
        <is>
          <t>alexmoon1212@gmail.com</t>
        </is>
      </c>
      <c r="D121" s="21" t="n">
        <v>0.0201</v>
      </c>
      <c r="E121" s="22" t="n">
        <v>0.6766</v>
      </c>
      <c r="F121" s="23" t="n">
        <v>1</v>
      </c>
      <c r="G121" s="24">
        <f>D121*H121</f>
        <v>3.015</v>
      </c>
      <c r="H121" s="25" t="n">
        <v>150</v>
      </c>
    </row>
    <row r="122">
      <c r="A122" s="20" t="inlineStr">
        <is>
          <t>8dd821bf-0a98-43bc-9265-45c40442b79c</t>
        </is>
      </c>
      <c r="B122" s="4" t="inlineStr">
        <is>
          <t>Alex Moon</t>
        </is>
      </c>
      <c r="C122" s="6" t="inlineStr">
        <is>
          <t>alexmoon1212@gmail.com</t>
        </is>
      </c>
      <c r="D122" s="21" t="n">
        <v>0.0201</v>
      </c>
      <c r="E122" s="22" t="n">
        <v>0.7027</v>
      </c>
      <c r="F122" s="23" t="n">
        <v>1</v>
      </c>
      <c r="G122" s="24">
        <f>D122*H122</f>
        <v>3.015</v>
      </c>
      <c r="H122" s="25" t="n">
        <v>150</v>
      </c>
    </row>
    <row r="123">
      <c r="A123" s="20" t="inlineStr">
        <is>
          <t>73dc87eb-fab9-4e4f-a456-d9e874d8324c</t>
        </is>
      </c>
      <c r="B123" s="4" t="inlineStr">
        <is>
          <t>Alex Moon</t>
        </is>
      </c>
      <c r="C123" s="6" t="inlineStr">
        <is>
          <t>alexmoon1212@gmail.com</t>
        </is>
      </c>
      <c r="D123" s="21" t="n">
        <v>0.0224</v>
      </c>
      <c r="E123" s="22" t="n">
        <v>0.712</v>
      </c>
      <c r="F123" s="23" t="n">
        <v>1</v>
      </c>
      <c r="G123" s="24">
        <f>D123*H123</f>
        <v>3.36</v>
      </c>
      <c r="H123" s="25" t="n">
        <v>150</v>
      </c>
    </row>
    <row r="124">
      <c r="A124" s="20" t="inlineStr">
        <is>
          <t>c1cb0a52-7986-4742-a170-fc5c07efff88</t>
        </is>
      </c>
      <c r="B124" s="4" t="inlineStr">
        <is>
          <t>Alex Moon</t>
        </is>
      </c>
      <c r="C124" s="6" t="inlineStr">
        <is>
          <t>alexmoon1212@gmail.com</t>
        </is>
      </c>
      <c r="D124" s="21" t="n">
        <v>0.025</v>
      </c>
      <c r="E124" s="22" t="n">
        <v>0.7010999999999999</v>
      </c>
      <c r="F124" s="23" t="n">
        <v>1</v>
      </c>
      <c r="G124" s="24">
        <f>D124*H124</f>
        <v>3.75</v>
      </c>
      <c r="H124" s="25" t="n">
        <v>150</v>
      </c>
    </row>
    <row r="125">
      <c r="A125" s="20" t="inlineStr">
        <is>
          <t>c9fdf80c-3cc4-49da-97c9-801a0266117b</t>
        </is>
      </c>
      <c r="B125" s="4" t="inlineStr">
        <is>
          <t>Alex Moon</t>
        </is>
      </c>
      <c r="C125" s="6" t="inlineStr">
        <is>
          <t>alexmoon1212@gmail.com</t>
        </is>
      </c>
      <c r="D125" s="21" t="n">
        <v>0.0289</v>
      </c>
      <c r="E125" s="22" t="n">
        <v>0.7958</v>
      </c>
      <c r="F125" s="23" t="n">
        <v>1</v>
      </c>
      <c r="G125" s="24">
        <f>D125*H125</f>
        <v>4.335</v>
      </c>
      <c r="H125" s="25" t="n">
        <v>150</v>
      </c>
    </row>
    <row r="126">
      <c r="A126" s="20" t="inlineStr">
        <is>
          <t>64907fde-3999-459a-8853-f433d832bc46</t>
        </is>
      </c>
      <c r="B126" s="4" t="inlineStr">
        <is>
          <t>Alex Moon</t>
        </is>
      </c>
      <c r="C126" s="6" t="inlineStr">
        <is>
          <t>alexmoon1212@gmail.com</t>
        </is>
      </c>
      <c r="D126" s="21" t="n">
        <v>0.0331</v>
      </c>
      <c r="E126" s="22" t="n">
        <v>0.7743</v>
      </c>
      <c r="F126" s="23" t="n">
        <v>1</v>
      </c>
      <c r="G126" s="24">
        <f>D126*H126</f>
        <v>4.965</v>
      </c>
      <c r="H126" s="25" t="n">
        <v>150</v>
      </c>
    </row>
    <row r="127">
      <c r="A127" s="20" t="inlineStr">
        <is>
          <t>3402377d-16c1-4ea5-b263-f61b424f20f7</t>
        </is>
      </c>
      <c r="B127" s="4" t="inlineStr">
        <is>
          <t>Alex Moon</t>
        </is>
      </c>
      <c r="C127" s="6" t="inlineStr">
        <is>
          <t>alexmoon1212@gmail.com</t>
        </is>
      </c>
      <c r="D127" s="21" t="n">
        <v>0.0348</v>
      </c>
      <c r="E127" s="22" t="n">
        <v>0.6551</v>
      </c>
      <c r="F127" s="23" t="n">
        <v>1</v>
      </c>
      <c r="G127" s="24">
        <f>D127*H127</f>
        <v>5.22</v>
      </c>
      <c r="H127" s="25" t="n">
        <v>150</v>
      </c>
    </row>
    <row r="128">
      <c r="A128" s="20" t="inlineStr">
        <is>
          <t>82c8854c-f93c-4471-8021-b3f685a9a972</t>
        </is>
      </c>
      <c r="B128" s="4" t="inlineStr">
        <is>
          <t>Alex Moon</t>
        </is>
      </c>
      <c r="C128" s="6" t="inlineStr">
        <is>
          <t>alexmoon1212@gmail.com</t>
        </is>
      </c>
      <c r="D128" s="21" t="n">
        <v>0.0806</v>
      </c>
      <c r="E128" s="22" t="n">
        <v>12.8834</v>
      </c>
      <c r="F128" s="23" t="n">
        <v>3</v>
      </c>
      <c r="G128" s="24">
        <f>D128*H128</f>
        <v>12.09</v>
      </c>
      <c r="H128" s="25" t="n">
        <v>150</v>
      </c>
    </row>
    <row r="129">
      <c r="A129" s="20" t="inlineStr">
        <is>
          <t>43dd2df6-5d16-487c-8382-0d486291ed27</t>
        </is>
      </c>
      <c r="B129" s="4" t="inlineStr">
        <is>
          <t>Alex Moon</t>
        </is>
      </c>
      <c r="C129" s="6" t="inlineStr">
        <is>
          <t>alexmoon1212@gmail.com</t>
        </is>
      </c>
      <c r="D129" s="21" t="n">
        <v>0.1158</v>
      </c>
      <c r="E129" s="22" t="n">
        <v>12.8694</v>
      </c>
      <c r="F129" s="23" t="n">
        <v>3</v>
      </c>
      <c r="G129" s="24">
        <f>D129*H129</f>
        <v>17.37</v>
      </c>
      <c r="H129" s="25" t="n">
        <v>150</v>
      </c>
    </row>
    <row r="130">
      <c r="A130" s="20" t="inlineStr">
        <is>
          <t>38f05145-bef6-4335-a53e-3997dfa5973e</t>
        </is>
      </c>
      <c r="B130" s="4" t="inlineStr">
        <is>
          <t>Alex Moon</t>
        </is>
      </c>
      <c r="C130" s="6" t="inlineStr">
        <is>
          <t>alexmoon1212@gmail.com</t>
        </is>
      </c>
      <c r="D130" s="21" t="n">
        <v>0.1287</v>
      </c>
      <c r="E130" s="22" t="n">
        <v>16.635</v>
      </c>
      <c r="F130" s="23" t="n">
        <v>2</v>
      </c>
      <c r="G130" s="24">
        <f>D130*H130</f>
        <v>19.305</v>
      </c>
      <c r="H130" s="25" t="n">
        <v>150</v>
      </c>
    </row>
    <row r="131">
      <c r="A131" s="20" t="inlineStr">
        <is>
          <t>905b353b-dbc5-47c3-8f96-4ef8e2c231ad</t>
        </is>
      </c>
      <c r="B131" s="4" t="inlineStr">
        <is>
          <t>Alex Moon</t>
        </is>
      </c>
      <c r="C131" s="6" t="inlineStr">
        <is>
          <t>alexmoon1212@gmail.com</t>
        </is>
      </c>
      <c r="D131" s="21" t="n">
        <v>0.3275</v>
      </c>
      <c r="E131" s="22" t="n">
        <v>12.6554</v>
      </c>
      <c r="F131" s="23" t="n">
        <v>2</v>
      </c>
      <c r="G131" s="24">
        <f>D131*H131</f>
        <v>49.125</v>
      </c>
      <c r="H131" s="25" t="n">
        <v>150</v>
      </c>
    </row>
    <row r="132">
      <c r="A132" s="20" t="inlineStr">
        <is>
          <t>7d4cce88-8325-446b-b98f-5a904d8aa3a1</t>
        </is>
      </c>
      <c r="B132" s="4" t="inlineStr">
        <is>
          <t>Alex Moon</t>
        </is>
      </c>
      <c r="C132" s="6" t="inlineStr">
        <is>
          <t>alexmoon1212@gmail.com</t>
        </is>
      </c>
      <c r="D132" s="21" t="n">
        <v>0.3712</v>
      </c>
      <c r="E132" s="22" t="n">
        <v>13.17</v>
      </c>
      <c r="F132" s="23" t="n">
        <v>3</v>
      </c>
      <c r="G132" s="24">
        <f>D132*H132</f>
        <v>55.67999999999999</v>
      </c>
      <c r="H132" s="25" t="n">
        <v>150</v>
      </c>
    </row>
    <row r="133">
      <c r="A133" s="20" t="inlineStr">
        <is>
          <t>8b391abb-04e8-4990-bf94-e8edc4117373</t>
        </is>
      </c>
      <c r="B133" s="4" t="inlineStr">
        <is>
          <t>Alex Moon</t>
        </is>
      </c>
      <c r="C133" s="6" t="inlineStr">
        <is>
          <t>alexmoon1212@gmail.com</t>
        </is>
      </c>
      <c r="D133" s="21" t="n">
        <v>0.4513</v>
      </c>
      <c r="E133" s="22" t="n">
        <v>12.7097</v>
      </c>
      <c r="F133" s="23" t="n">
        <v>2</v>
      </c>
      <c r="G133" s="24">
        <f>D133*H133</f>
        <v>67.695</v>
      </c>
      <c r="H133" s="25" t="n">
        <v>150</v>
      </c>
    </row>
    <row r="134">
      <c r="A134" s="20" t="inlineStr">
        <is>
          <t>ff89280a-3427-4925-b59c-2f045a686358</t>
        </is>
      </c>
      <c r="B134" s="4" t="inlineStr">
        <is>
          <t>Alex Moon</t>
        </is>
      </c>
      <c r="C134" s="6" t="inlineStr">
        <is>
          <t>alexmoon1212@gmail.com</t>
        </is>
      </c>
      <c r="D134" s="21" t="n">
        <v>0.5108</v>
      </c>
      <c r="E134" s="22" t="n">
        <v>26.9588</v>
      </c>
      <c r="F134" s="23" t="n">
        <v>4</v>
      </c>
      <c r="G134" s="24">
        <f>D134*H134</f>
        <v>76.62</v>
      </c>
      <c r="H134" s="25" t="n">
        <v>150</v>
      </c>
    </row>
    <row r="135">
      <c r="A135" s="20" t="inlineStr">
        <is>
          <t>e2482bfa-f83f-48e4-9872-5e9dcf61ed00</t>
        </is>
      </c>
      <c r="B135" s="4" t="inlineStr">
        <is>
          <t>Alex Moon</t>
        </is>
      </c>
      <c r="C135" s="6" t="inlineStr">
        <is>
          <t>alexmoon1212@gmail.com</t>
        </is>
      </c>
      <c r="D135" s="21" t="n">
        <v>0.6391</v>
      </c>
      <c r="E135" s="22" t="n">
        <v>15.8087</v>
      </c>
      <c r="F135" s="23" t="n">
        <v>2</v>
      </c>
      <c r="G135" s="24">
        <f>D135*H135</f>
        <v>95.865</v>
      </c>
      <c r="H135" s="25" t="n">
        <v>150</v>
      </c>
    </row>
    <row r="136">
      <c r="A136" s="20" t="inlineStr">
        <is>
          <t>22fe2673-f94d-4eec-8b72-b962363a1fb4</t>
        </is>
      </c>
      <c r="B136" s="4" t="inlineStr">
        <is>
          <t>Alex Moon</t>
        </is>
      </c>
      <c r="C136" s="6" t="inlineStr">
        <is>
          <t>alexmoon1212@gmail.com</t>
        </is>
      </c>
      <c r="D136" s="21" t="n">
        <v>0.6636</v>
      </c>
      <c r="E136" s="22" t="n">
        <v>13.88</v>
      </c>
      <c r="F136" s="23" t="n">
        <v>2</v>
      </c>
      <c r="G136" s="24">
        <f>D136*H136</f>
        <v>99.53999999999999</v>
      </c>
      <c r="H136" s="25" t="n">
        <v>150</v>
      </c>
    </row>
    <row r="137">
      <c r="A137" s="20" t="inlineStr">
        <is>
          <t>10b45887-336a-4c47-860f-2222393eb936</t>
        </is>
      </c>
      <c r="B137" s="4" t="inlineStr">
        <is>
          <t>Alex Moon</t>
        </is>
      </c>
      <c r="C137" s="6" t="inlineStr">
        <is>
          <t>alexmoon1212@gmail.com</t>
        </is>
      </c>
      <c r="D137" s="21" t="n">
        <v>0.8090000000000001</v>
      </c>
      <c r="E137" s="22" t="n">
        <v>24.7341</v>
      </c>
      <c r="F137" s="23" t="n">
        <v>4</v>
      </c>
      <c r="G137" s="24">
        <f>D137*H137</f>
        <v>121.35000000000001</v>
      </c>
      <c r="H137" s="25" t="n">
        <v>150</v>
      </c>
    </row>
    <row r="138">
      <c r="A138" s="20" t="inlineStr">
        <is>
          <t>5fc0ea7b-412a-4d41-83b0-e0fe0d559327</t>
        </is>
      </c>
      <c r="B138" s="4" t="inlineStr">
        <is>
          <t>Alex Moon</t>
        </is>
      </c>
      <c r="C138" s="6" t="inlineStr">
        <is>
          <t>alexmoon1212@gmail.com</t>
        </is>
      </c>
      <c r="D138" s="21" t="n">
        <v>0.8245</v>
      </c>
      <c r="E138" s="22" t="n">
        <v>12.4734</v>
      </c>
      <c r="F138" s="23" t="n">
        <v>2</v>
      </c>
      <c r="G138" s="24">
        <f>D138*H138</f>
        <v>123.675</v>
      </c>
      <c r="H138" s="25" t="n">
        <v>150</v>
      </c>
    </row>
    <row r="139">
      <c r="A139" s="20" t="inlineStr">
        <is>
          <t>813046df-31bf-489e-b12f-287afa48a43a</t>
        </is>
      </c>
      <c r="B139" s="4" t="inlineStr">
        <is>
          <t>Alex Moon</t>
        </is>
      </c>
      <c r="C139" s="6" t="inlineStr">
        <is>
          <t>alexmoon1212@gmail.com</t>
        </is>
      </c>
      <c r="D139" s="21" t="n">
        <v>0.8310999999999999</v>
      </c>
      <c r="E139" s="22" t="n">
        <v>12.8437</v>
      </c>
      <c r="F139" s="23" t="n">
        <v>2</v>
      </c>
      <c r="G139" s="24">
        <f>D139*H139</f>
        <v>124.66499999999999</v>
      </c>
      <c r="H139" s="25" t="n">
        <v>150</v>
      </c>
    </row>
    <row r="140">
      <c r="A140" s="20" t="inlineStr">
        <is>
          <t>1f5f9e5b-f183-4af0-84e4-ca570e0d1763</t>
        </is>
      </c>
      <c r="B140" s="4" t="inlineStr">
        <is>
          <t>Alex Moon</t>
        </is>
      </c>
      <c r="C140" s="6" t="inlineStr">
        <is>
          <t>alexmoon1212@gmail.com</t>
        </is>
      </c>
      <c r="D140" s="21" t="n">
        <v>0.8414</v>
      </c>
      <c r="E140" s="22" t="n">
        <v>24.6893</v>
      </c>
      <c r="F140" s="23" t="n">
        <v>3</v>
      </c>
      <c r="G140" s="24">
        <f>D140*H140</f>
        <v>126.21000000000001</v>
      </c>
      <c r="H140" s="25" t="n">
        <v>150</v>
      </c>
    </row>
    <row r="141">
      <c r="A141" s="20" t="inlineStr">
        <is>
          <t>cac9afc5-3fac-48ef-8d62-317ae5456c2f</t>
        </is>
      </c>
      <c r="B141" s="4" t="inlineStr">
        <is>
          <t>Alex Moon</t>
        </is>
      </c>
      <c r="C141" s="6" t="inlineStr">
        <is>
          <t>alexmoon1212@gmail.com</t>
        </is>
      </c>
      <c r="D141" s="21" t="n">
        <v>0.8956</v>
      </c>
      <c r="E141" s="22" t="n">
        <v>37.1186</v>
      </c>
      <c r="F141" s="23" t="n">
        <v>5</v>
      </c>
      <c r="G141" s="24">
        <f>D141*H141</f>
        <v>134.34</v>
      </c>
      <c r="H141" s="25" t="n">
        <v>150</v>
      </c>
    </row>
    <row r="142">
      <c r="A142" s="20" t="inlineStr">
        <is>
          <t>52df4220-4668-49b2-9ae2-05caeff25748</t>
        </is>
      </c>
      <c r="B142" s="4" t="inlineStr">
        <is>
          <t>Alex Moon</t>
        </is>
      </c>
      <c r="C142" s="6" t="inlineStr">
        <is>
          <t>alexmoon1212@gmail.com</t>
        </is>
      </c>
      <c r="D142" s="21" t="n">
        <v>0.9219000000000001</v>
      </c>
      <c r="E142" s="22" t="n">
        <v>14.6278</v>
      </c>
      <c r="F142" s="23" t="n">
        <v>3</v>
      </c>
      <c r="G142" s="24">
        <f>D142*H142</f>
        <v>138.285</v>
      </c>
      <c r="H142" s="25" t="n">
        <v>150</v>
      </c>
    </row>
    <row r="143">
      <c r="A143" s="20" t="inlineStr">
        <is>
          <t>b1d3c1fa-3cc0-49a1-b283-52147dbb6e70</t>
        </is>
      </c>
      <c r="B143" s="4" t="inlineStr">
        <is>
          <t>Alex Moon</t>
        </is>
      </c>
      <c r="C143" s="6" t="inlineStr">
        <is>
          <t>alexmoon1212@gmail.com</t>
        </is>
      </c>
      <c r="D143" s="21" t="n">
        <v>0.9528</v>
      </c>
      <c r="E143" s="22" t="n">
        <v>13.5928</v>
      </c>
      <c r="F143" s="23" t="n">
        <v>3</v>
      </c>
      <c r="G143" s="24">
        <f>D143*H143</f>
        <v>142.92</v>
      </c>
      <c r="H143" s="25" t="n">
        <v>150</v>
      </c>
    </row>
    <row r="144">
      <c r="A144" s="20" t="inlineStr">
        <is>
          <t>bb01402e-b780-4360-b128-28cf37fc7a60</t>
        </is>
      </c>
      <c r="B144" s="4" t="inlineStr">
        <is>
          <t>Alex Moon</t>
        </is>
      </c>
      <c r="C144" s="6" t="inlineStr">
        <is>
          <t>alexmoon1212@gmail.com</t>
        </is>
      </c>
      <c r="D144" s="21" t="n">
        <v>0.9562</v>
      </c>
      <c r="E144" s="22" t="n">
        <v>18.2714</v>
      </c>
      <c r="F144" s="23" t="n">
        <v>4</v>
      </c>
      <c r="G144" s="24">
        <f>D144*H144</f>
        <v>143.43</v>
      </c>
      <c r="H144" s="25" t="n">
        <v>150</v>
      </c>
    </row>
    <row r="145">
      <c r="A145" s="20" t="inlineStr">
        <is>
          <t>5cdb34ad-1a07-4e03-b115-c42329dcae03</t>
        </is>
      </c>
      <c r="B145" s="4" t="inlineStr">
        <is>
          <t>Alex Moon</t>
        </is>
      </c>
      <c r="C145" s="6" t="inlineStr">
        <is>
          <t>alexmoon1212@gmail.com</t>
        </is>
      </c>
      <c r="D145" s="21" t="n">
        <v>1.0196</v>
      </c>
      <c r="E145" s="22" t="n">
        <v>12.7916</v>
      </c>
      <c r="F145" s="23" t="n">
        <v>2</v>
      </c>
      <c r="G145" s="24">
        <f>D145*H145</f>
        <v>152.94</v>
      </c>
      <c r="H145" s="25" t="n">
        <v>150</v>
      </c>
    </row>
    <row r="146">
      <c r="A146" s="20" t="inlineStr">
        <is>
          <t>73d0f38d-0a59-4ced-955e-2181296eb938</t>
        </is>
      </c>
      <c r="B146" s="4" t="inlineStr">
        <is>
          <t>Alex Moon</t>
        </is>
      </c>
      <c r="C146" s="6" t="inlineStr">
        <is>
          <t>alexmoon1212@gmail.com</t>
        </is>
      </c>
      <c r="D146" s="21" t="n">
        <v>1.1331</v>
      </c>
      <c r="E146" s="22" t="n">
        <v>25.1903</v>
      </c>
      <c r="F146" s="23" t="n">
        <v>4</v>
      </c>
      <c r="G146" s="24">
        <f>D146*H146</f>
        <v>169.965</v>
      </c>
      <c r="H146" s="25" t="n">
        <v>150</v>
      </c>
    </row>
    <row r="147">
      <c r="A147" s="20" t="inlineStr">
        <is>
          <t>6bb7293f-e28c-4c33-89ee-8ab2187702cf</t>
        </is>
      </c>
      <c r="B147" s="4" t="inlineStr">
        <is>
          <t>Alex Moon</t>
        </is>
      </c>
      <c r="C147" s="6" t="inlineStr">
        <is>
          <t>alexmoon1212@gmail.com</t>
        </is>
      </c>
      <c r="D147" s="21" t="n">
        <v>1.1825</v>
      </c>
      <c r="E147" s="22" t="n">
        <v>24.6947</v>
      </c>
      <c r="F147" s="23" t="n">
        <v>4</v>
      </c>
      <c r="G147" s="24">
        <f>D147*H147</f>
        <v>177.37500000000003</v>
      </c>
      <c r="H147" s="25" t="n">
        <v>150</v>
      </c>
    </row>
    <row r="148">
      <c r="A148" s="20" t="inlineStr">
        <is>
          <t>c42928ad-1090-4e09-ae79-5390f644c425</t>
        </is>
      </c>
      <c r="B148" s="4" t="inlineStr">
        <is>
          <t>Alex Moon</t>
        </is>
      </c>
      <c r="C148" s="6" t="inlineStr">
        <is>
          <t>alexmoon1212@gmail.com</t>
        </is>
      </c>
      <c r="D148" s="21" t="n">
        <v>1.331</v>
      </c>
      <c r="E148" s="22" t="n">
        <v>32.3241</v>
      </c>
      <c r="F148" s="23" t="n">
        <v>4</v>
      </c>
      <c r="G148" s="24">
        <f>D148*H148</f>
        <v>199.65</v>
      </c>
      <c r="H148" s="25" t="n">
        <v>150</v>
      </c>
    </row>
    <row r="149">
      <c r="A149" s="20" t="inlineStr">
        <is>
          <t>b9e8e583-498f-419d-b056-90b8ad9e0518</t>
        </is>
      </c>
      <c r="B149" s="4" t="inlineStr">
        <is>
          <t>Alex Moon</t>
        </is>
      </c>
      <c r="C149" s="6" t="inlineStr">
        <is>
          <t>alexmoon1212@gmail.com</t>
        </is>
      </c>
      <c r="D149" s="21" t="n">
        <v>1.4854</v>
      </c>
      <c r="E149" s="22" t="n">
        <v>12.841</v>
      </c>
      <c r="F149" s="23" t="n">
        <v>2</v>
      </c>
      <c r="G149" s="24">
        <f>D149*H149</f>
        <v>222.81</v>
      </c>
      <c r="H149" s="25" t="n">
        <v>150</v>
      </c>
    </row>
    <row r="150">
      <c r="A150" s="20" t="inlineStr">
        <is>
          <t>0d34e10e-e686-49a5-9ccd-d6f9aeb0a52c</t>
        </is>
      </c>
      <c r="B150" s="4" t="inlineStr">
        <is>
          <t>Pravit Kochar</t>
        </is>
      </c>
      <c r="C150" s="6" t="inlineStr">
        <is>
          <t>pravitkochar@uchicago.edu</t>
        </is>
      </c>
      <c r="D150" s="21" t="n">
        <v>0</v>
      </c>
      <c r="E150" s="22" t="n">
        <v>11.3944</v>
      </c>
      <c r="F150" s="23" t="n">
        <v>1</v>
      </c>
      <c r="G150" s="24">
        <f>D150*H150</f>
        <v>0</v>
      </c>
      <c r="H150" s="25" t="n">
        <v>150</v>
      </c>
    </row>
    <row r="151">
      <c r="A151" s="20" t="inlineStr">
        <is>
          <t>4f70842e-4f58-4edd-bffe-0bfcb1caf050</t>
        </is>
      </c>
      <c r="B151" s="4" t="inlineStr">
        <is>
          <t>Pravit Kochar</t>
        </is>
      </c>
      <c r="C151" s="6" t="inlineStr">
        <is>
          <t>pravitkochar@uchicago.edu</t>
        </is>
      </c>
      <c r="D151" s="21" t="n">
        <v>0</v>
      </c>
      <c r="E151" s="22" t="n">
        <v>0.7919</v>
      </c>
      <c r="F151" s="23" t="n">
        <v>1</v>
      </c>
      <c r="G151" s="24">
        <f>D151*H151</f>
        <v>0</v>
      </c>
      <c r="H151" s="25" t="n">
        <v>150</v>
      </c>
    </row>
    <row r="152">
      <c r="A152" s="20" t="inlineStr">
        <is>
          <t>73bf4623-d9df-4f7d-a270-c36fffde19a5</t>
        </is>
      </c>
      <c r="B152" s="4" t="inlineStr">
        <is>
          <t>Pravit Kochar</t>
        </is>
      </c>
      <c r="C152" s="6" t="inlineStr">
        <is>
          <t>pravitkochar@uchicago.edu</t>
        </is>
      </c>
      <c r="D152" s="21" t="n">
        <v>0</v>
      </c>
      <c r="E152" s="22" t="n">
        <v>8.206899999999999</v>
      </c>
      <c r="F152" s="23" t="n">
        <v>2</v>
      </c>
      <c r="G152" s="24">
        <f>D152*H152</f>
        <v>0</v>
      </c>
      <c r="H152" s="25" t="n">
        <v>150</v>
      </c>
    </row>
    <row r="153">
      <c r="A153" s="20" t="inlineStr">
        <is>
          <t>790c156a-878b-4763-b30b-449040413123</t>
        </is>
      </c>
      <c r="B153" s="4" t="inlineStr">
        <is>
          <t>Pravit Kochar</t>
        </is>
      </c>
      <c r="C153" s="6" t="inlineStr">
        <is>
          <t>pravitkochar@uchicago.edu</t>
        </is>
      </c>
      <c r="D153" s="21" t="n">
        <v>0</v>
      </c>
      <c r="E153" s="22" t="n">
        <v>25.0308</v>
      </c>
      <c r="F153" s="23" t="n">
        <v>3</v>
      </c>
      <c r="G153" s="24">
        <f>D153*H153</f>
        <v>0</v>
      </c>
      <c r="H153" s="25" t="n">
        <v>150</v>
      </c>
    </row>
    <row r="154">
      <c r="A154" s="20" t="inlineStr">
        <is>
          <t>9b318738-80c4-471e-8966-5b66df8b7863</t>
        </is>
      </c>
      <c r="B154" s="4" t="inlineStr">
        <is>
          <t>Pravit Kochar</t>
        </is>
      </c>
      <c r="C154" s="6" t="inlineStr">
        <is>
          <t>pravitkochar@uchicago.edu</t>
        </is>
      </c>
      <c r="D154" s="21" t="n">
        <v>0</v>
      </c>
      <c r="E154" s="22" t="n">
        <v>0.6619</v>
      </c>
      <c r="F154" s="23" t="n">
        <v>1</v>
      </c>
      <c r="G154" s="24">
        <f>D154*H154</f>
        <v>0</v>
      </c>
      <c r="H154" s="25" t="n">
        <v>150</v>
      </c>
    </row>
    <row r="155">
      <c r="A155" s="20" t="inlineStr">
        <is>
          <t>1819cfed-a3f6-4245-8d83-c256ee887cda</t>
        </is>
      </c>
      <c r="B155" s="4" t="inlineStr">
        <is>
          <t>Pravit Kochar</t>
        </is>
      </c>
      <c r="C155" s="6" t="inlineStr">
        <is>
          <t>pravitkochar@uchicago.edu</t>
        </is>
      </c>
      <c r="D155" s="21" t="n">
        <v>0.0612</v>
      </c>
      <c r="E155" s="22" t="n">
        <v>14.1905</v>
      </c>
      <c r="F155" s="23" t="n">
        <v>2</v>
      </c>
      <c r="G155" s="24">
        <f>D155*H155</f>
        <v>9.18</v>
      </c>
      <c r="H155" s="25" t="n">
        <v>150</v>
      </c>
    </row>
    <row r="156">
      <c r="A156" s="20" t="inlineStr">
        <is>
          <t>dffc54d2-aac7-4f0f-8491-9c70c86c045f</t>
        </is>
      </c>
      <c r="B156" s="4" t="inlineStr">
        <is>
          <t>Pravit Kochar</t>
        </is>
      </c>
      <c r="C156" s="6" t="inlineStr">
        <is>
          <t>pravitkochar@uchicago.edu</t>
        </is>
      </c>
      <c r="D156" s="21" t="n">
        <v>0.2397</v>
      </c>
      <c r="E156" s="22" t="n">
        <v>12.5558</v>
      </c>
      <c r="F156" s="23" t="n">
        <v>2</v>
      </c>
      <c r="G156" s="24">
        <f>D156*H156</f>
        <v>35.955</v>
      </c>
      <c r="H156" s="25" t="n">
        <v>150</v>
      </c>
    </row>
    <row r="157">
      <c r="A157" s="20" t="inlineStr">
        <is>
          <t>240581f9-8c82-4d90-965b-97a1b7d11a10</t>
        </is>
      </c>
      <c r="B157" s="4" t="inlineStr">
        <is>
          <t>Pravit Kochar</t>
        </is>
      </c>
      <c r="C157" s="6" t="inlineStr">
        <is>
          <t>pravitkochar@uchicago.edu</t>
        </is>
      </c>
      <c r="D157" s="21" t="n">
        <v>0.3472</v>
      </c>
      <c r="E157" s="22" t="n">
        <v>0.5338000000000001</v>
      </c>
      <c r="F157" s="23" t="n">
        <v>1</v>
      </c>
      <c r="G157" s="24">
        <f>D157*H157</f>
        <v>52.08</v>
      </c>
      <c r="H157" s="25" t="n">
        <v>150</v>
      </c>
    </row>
    <row r="158">
      <c r="A158" s="20" t="inlineStr">
        <is>
          <t>b5ced6be-35b3-431f-93e2-a2d487b4168a</t>
        </is>
      </c>
      <c r="B158" s="4" t="inlineStr">
        <is>
          <t>Pravit Kochar</t>
        </is>
      </c>
      <c r="C158" s="6" t="inlineStr">
        <is>
          <t>pravitkochar@uchicago.edu</t>
        </is>
      </c>
      <c r="D158" s="21" t="n">
        <v>0.4076</v>
      </c>
      <c r="E158" s="22" t="n">
        <v>24</v>
      </c>
      <c r="F158" s="23" t="n">
        <v>2</v>
      </c>
      <c r="G158" s="24">
        <f>D158*H158</f>
        <v>61.14</v>
      </c>
      <c r="H158" s="25" t="n">
        <v>150</v>
      </c>
    </row>
    <row r="159">
      <c r="A159" s="20" t="inlineStr">
        <is>
          <t>c4a0b6a5-a47a-4fa9-b113-44915fd7eb13</t>
        </is>
      </c>
      <c r="B159" s="4" t="inlineStr">
        <is>
          <t>Pravit Kochar</t>
        </is>
      </c>
      <c r="C159" s="6" t="inlineStr">
        <is>
          <t>pravitkochar@uchicago.edu</t>
        </is>
      </c>
      <c r="D159" s="21" t="n">
        <v>0.4432</v>
      </c>
      <c r="E159" s="22" t="n">
        <v>0.6813</v>
      </c>
      <c r="F159" s="23" t="n">
        <v>1</v>
      </c>
      <c r="G159" s="24">
        <f>D159*H159</f>
        <v>66.48</v>
      </c>
      <c r="H159" s="25" t="n">
        <v>150</v>
      </c>
    </row>
    <row r="160">
      <c r="A160" s="20" t="inlineStr">
        <is>
          <t>26d4a5e2-4af6-459d-bf1b-01cb1f743b49</t>
        </is>
      </c>
      <c r="B160" s="4" t="inlineStr">
        <is>
          <t>Pravit Kochar</t>
        </is>
      </c>
      <c r="C160" s="6" t="inlineStr">
        <is>
          <t>pravitkochar@uchicago.edu</t>
        </is>
      </c>
      <c r="D160" s="21" t="n">
        <v>0.4783</v>
      </c>
      <c r="E160" s="22" t="n">
        <v>15.8961</v>
      </c>
      <c r="F160" s="23" t="n">
        <v>2</v>
      </c>
      <c r="G160" s="24">
        <f>D160*H160</f>
        <v>71.745</v>
      </c>
      <c r="H160" s="25" t="n">
        <v>150</v>
      </c>
    </row>
    <row r="161">
      <c r="A161" s="20" t="inlineStr">
        <is>
          <t>98fb1a0d-117a-4b6f-b6c3-ac628d016c75</t>
        </is>
      </c>
      <c r="B161" s="4" t="inlineStr">
        <is>
          <t>Pravit Kochar</t>
        </is>
      </c>
      <c r="C161" s="6" t="inlineStr">
        <is>
          <t>pravitkochar@uchicago.edu</t>
        </is>
      </c>
      <c r="D161" s="21" t="n">
        <v>0.4993</v>
      </c>
      <c r="E161" s="22" t="n">
        <v>0.5635</v>
      </c>
      <c r="F161" s="23" t="n">
        <v>1</v>
      </c>
      <c r="G161" s="24">
        <f>D161*H161</f>
        <v>74.89500000000001</v>
      </c>
      <c r="H161" s="25" t="n">
        <v>150</v>
      </c>
    </row>
    <row r="162">
      <c r="A162" s="20" t="inlineStr">
        <is>
          <t>f466afb4-78c6-4c73-855c-42cf9728e897</t>
        </is>
      </c>
      <c r="B162" s="4" t="inlineStr">
        <is>
          <t>Pravit Kochar</t>
        </is>
      </c>
      <c r="C162" s="6" t="inlineStr">
        <is>
          <t>pravitkochar@uchicago.edu</t>
        </is>
      </c>
      <c r="D162" s="21" t="n">
        <v>0.6304999999999999</v>
      </c>
      <c r="E162" s="22" t="n">
        <v>2.0541</v>
      </c>
      <c r="F162" s="23" t="n">
        <v>3</v>
      </c>
      <c r="G162" s="24">
        <f>D162*H162</f>
        <v>94.57499999999999</v>
      </c>
      <c r="H162" s="25" t="n">
        <v>150</v>
      </c>
    </row>
    <row r="163">
      <c r="A163" s="20" t="inlineStr">
        <is>
          <t>57d2b641-268b-4542-8954-2819402824b8</t>
        </is>
      </c>
      <c r="B163" s="4" t="inlineStr">
        <is>
          <t>Pravit Kochar</t>
        </is>
      </c>
      <c r="C163" s="6" t="inlineStr">
        <is>
          <t>pravitkochar@uchicago.edu</t>
        </is>
      </c>
      <c r="D163" s="21" t="n">
        <v>0.6561</v>
      </c>
      <c r="E163" s="22" t="n">
        <v>4.3144</v>
      </c>
      <c r="F163" s="23" t="n">
        <v>3</v>
      </c>
      <c r="G163" s="24">
        <f>D163*H163</f>
        <v>98.415</v>
      </c>
      <c r="H163" s="25" t="n">
        <v>150</v>
      </c>
    </row>
    <row r="164">
      <c r="A164" s="20" t="inlineStr">
        <is>
          <t>06eab479-f1a8-4730-b288-ca52899f5644</t>
        </is>
      </c>
      <c r="B164" s="4" t="inlineStr">
        <is>
          <t>Pravit Kochar</t>
        </is>
      </c>
      <c r="C164" s="6" t="inlineStr">
        <is>
          <t>pravitkochar@uchicago.edu</t>
        </is>
      </c>
      <c r="D164" s="21" t="n">
        <v>1.0883</v>
      </c>
      <c r="E164" s="22" t="n">
        <v>14.1085</v>
      </c>
      <c r="F164" s="23" t="n">
        <v>3</v>
      </c>
      <c r="G164" s="24">
        <f>D164*H164</f>
        <v>163.245</v>
      </c>
      <c r="H164" s="25" t="n">
        <v>150</v>
      </c>
    </row>
    <row r="165">
      <c r="A165" s="20" t="inlineStr">
        <is>
          <t>06159c1c-cf63-4be6-a66c-dd3e7d8852d0</t>
        </is>
      </c>
      <c r="B165" s="4" t="inlineStr">
        <is>
          <t>Pravit Kochar</t>
        </is>
      </c>
      <c r="C165" s="6" t="inlineStr">
        <is>
          <t>pravitkochar@uchicago.edu</t>
        </is>
      </c>
      <c r="D165" s="21" t="n">
        <v>1.3648</v>
      </c>
      <c r="E165" s="22" t="n">
        <v>25.1657</v>
      </c>
      <c r="F165" s="23" t="n">
        <v>5</v>
      </c>
      <c r="G165" s="24">
        <f>D165*H165</f>
        <v>204.72</v>
      </c>
      <c r="H165" s="25" t="n">
        <v>150</v>
      </c>
    </row>
    <row r="166">
      <c r="A166" s="20" t="inlineStr">
        <is>
          <t>eaa8156a-a68e-4ac2-866d-ad0ef01790d4</t>
        </is>
      </c>
      <c r="B166" s="4" t="inlineStr">
        <is>
          <t>Ethan Ohana</t>
        </is>
      </c>
      <c r="C166" s="6" t="inlineStr">
        <is>
          <t>ethan.ohana214@gmail.com</t>
        </is>
      </c>
      <c r="D166" s="21" t="n">
        <v>0.0624</v>
      </c>
      <c r="E166" s="22" t="n">
        <v>1.4261</v>
      </c>
      <c r="F166" s="23" t="n">
        <v>1</v>
      </c>
      <c r="G166" s="24">
        <f>D166*H166</f>
        <v>9.36</v>
      </c>
      <c r="H166" s="25" t="n">
        <v>150</v>
      </c>
    </row>
    <row r="167">
      <c r="A167" s="20" t="inlineStr">
        <is>
          <t>e9a6acf0-8324-4819-b8a9-fd7b25bd1088</t>
        </is>
      </c>
      <c r="B167" s="4" t="inlineStr">
        <is>
          <t>Ethan Ohana</t>
        </is>
      </c>
      <c r="C167" s="6" t="inlineStr">
        <is>
          <t>ethan.ohana214@gmail.com</t>
        </is>
      </c>
      <c r="D167" s="21" t="n">
        <v>0.075</v>
      </c>
      <c r="E167" s="22" t="n">
        <v>10.1472</v>
      </c>
      <c r="F167" s="23" t="n">
        <v>2</v>
      </c>
      <c r="G167" s="24">
        <f>D167*H167</f>
        <v>11.25</v>
      </c>
      <c r="H167" s="25" t="n">
        <v>150</v>
      </c>
    </row>
    <row r="168">
      <c r="A168" s="20" t="inlineStr">
        <is>
          <t>0e5296ef-bb93-4a24-b9e2-81d22b523912</t>
        </is>
      </c>
      <c r="B168" s="4" t="inlineStr">
        <is>
          <t>Ethan Ohana</t>
        </is>
      </c>
      <c r="C168" s="6" t="inlineStr">
        <is>
          <t>ethan.ohana214@gmail.com</t>
        </is>
      </c>
      <c r="D168" s="21" t="n">
        <v>0.0765</v>
      </c>
      <c r="E168" s="22" t="n">
        <v>2.9157</v>
      </c>
      <c r="F168" s="23" t="n">
        <v>3</v>
      </c>
      <c r="G168" s="24">
        <f>D168*H168</f>
        <v>11.475</v>
      </c>
      <c r="H168" s="25" t="n">
        <v>150</v>
      </c>
    </row>
    <row r="169">
      <c r="A169" s="20" t="inlineStr">
        <is>
          <t>84f45604-5da0-4faf-a561-ec3f13a14fc7</t>
        </is>
      </c>
      <c r="B169" s="4" t="inlineStr">
        <is>
          <t>Ethan Ohana</t>
        </is>
      </c>
      <c r="C169" s="6" t="inlineStr">
        <is>
          <t>ethan.ohana214@gmail.com</t>
        </is>
      </c>
      <c r="D169" s="21" t="n">
        <v>0.08169999999999999</v>
      </c>
      <c r="E169" s="22" t="n">
        <v>12</v>
      </c>
      <c r="F169" s="23" t="n">
        <v>1</v>
      </c>
      <c r="G169" s="24">
        <f>D169*H169</f>
        <v>12.254999999999999</v>
      </c>
      <c r="H169" s="25" t="n">
        <v>150</v>
      </c>
    </row>
    <row r="170">
      <c r="A170" s="20" t="inlineStr">
        <is>
          <t>63e709d3-37bd-4c0d-8c6e-0aaecf1f0158</t>
        </is>
      </c>
      <c r="B170" s="4" t="inlineStr">
        <is>
          <t>Ethan Ohana</t>
        </is>
      </c>
      <c r="C170" s="6" t="inlineStr">
        <is>
          <t>ethan.ohana214@gmail.com</t>
        </is>
      </c>
      <c r="D170" s="21" t="n">
        <v>0.0835</v>
      </c>
      <c r="E170" s="22" t="n">
        <v>0.4169</v>
      </c>
      <c r="F170" s="23" t="n">
        <v>1</v>
      </c>
      <c r="G170" s="24">
        <f>D170*H170</f>
        <v>12.525</v>
      </c>
      <c r="H170" s="25" t="n">
        <v>150</v>
      </c>
    </row>
    <row r="171">
      <c r="A171" s="20" t="inlineStr">
        <is>
          <t>530a36b7-eaea-4ae0-8c20-d95d1d2f6fec</t>
        </is>
      </c>
      <c r="B171" s="4" t="inlineStr">
        <is>
          <t>Ethan Ohana</t>
        </is>
      </c>
      <c r="C171" s="6" t="inlineStr">
        <is>
          <t>ethan.ohana214@gmail.com</t>
        </is>
      </c>
      <c r="D171" s="21" t="n">
        <v>0.0998</v>
      </c>
      <c r="E171" s="22" t="n">
        <v>3.7088</v>
      </c>
      <c r="F171" s="23" t="n">
        <v>2</v>
      </c>
      <c r="G171" s="24">
        <f>D171*H171</f>
        <v>14.97</v>
      </c>
      <c r="H171" s="25" t="n">
        <v>150</v>
      </c>
    </row>
    <row r="172">
      <c r="A172" s="20" t="inlineStr">
        <is>
          <t>3955bc41-b612-4349-971d-a8842b4a271f</t>
        </is>
      </c>
      <c r="B172" s="4" t="inlineStr">
        <is>
          <t>Ethan Ohana</t>
        </is>
      </c>
      <c r="C172" s="6" t="inlineStr">
        <is>
          <t>ethan.ohana214@gmail.com</t>
        </is>
      </c>
      <c r="D172" s="21" t="n">
        <v>0.1199</v>
      </c>
      <c r="E172" s="22" t="n">
        <v>1.7154</v>
      </c>
      <c r="F172" s="23" t="n">
        <v>2</v>
      </c>
      <c r="G172" s="24">
        <f>D172*H172</f>
        <v>17.985</v>
      </c>
      <c r="H172" s="25" t="n">
        <v>150</v>
      </c>
    </row>
    <row r="173">
      <c r="A173" s="20" t="inlineStr">
        <is>
          <t>6a3541d9-5a32-461f-9539-d52ac2b0a2f0</t>
        </is>
      </c>
      <c r="B173" s="4" t="inlineStr">
        <is>
          <t>Ethan Ohana</t>
        </is>
      </c>
      <c r="C173" s="6" t="inlineStr">
        <is>
          <t>ethan.ohana214@gmail.com</t>
        </is>
      </c>
      <c r="D173" s="21" t="n">
        <v>0.2364</v>
      </c>
      <c r="E173" s="22" t="n">
        <v>12.2707</v>
      </c>
      <c r="F173" s="23" t="n">
        <v>2</v>
      </c>
      <c r="G173" s="24">
        <f>D173*H173</f>
        <v>35.46</v>
      </c>
      <c r="H173" s="25" t="n">
        <v>150</v>
      </c>
    </row>
    <row r="174">
      <c r="A174" s="20" t="inlineStr">
        <is>
          <t>71d4a284-548f-47d0-aa74-7be92f3dd652</t>
        </is>
      </c>
      <c r="B174" s="4" t="inlineStr">
        <is>
          <t>Ethan Ohana</t>
        </is>
      </c>
      <c r="C174" s="6" t="inlineStr">
        <is>
          <t>ethan.ohana214@gmail.com</t>
        </is>
      </c>
      <c r="D174" s="21" t="n">
        <v>0.2479</v>
      </c>
      <c r="E174" s="22" t="n">
        <v>12.6357</v>
      </c>
      <c r="F174" s="23" t="n">
        <v>3</v>
      </c>
      <c r="G174" s="24">
        <f>D174*H174</f>
        <v>37.185</v>
      </c>
      <c r="H174" s="25" t="n">
        <v>150</v>
      </c>
    </row>
    <row r="175">
      <c r="A175" s="20" t="inlineStr">
        <is>
          <t>05bf2745-9d02-41a1-a2c2-0f0a7c032e88</t>
        </is>
      </c>
      <c r="B175" s="4" t="inlineStr">
        <is>
          <t>Ethan Ohana</t>
        </is>
      </c>
      <c r="C175" s="6" t="inlineStr">
        <is>
          <t>ethan.ohana214@gmail.com</t>
        </is>
      </c>
      <c r="D175" s="21" t="n">
        <v>0.2954</v>
      </c>
      <c r="E175" s="22" t="n">
        <v>2.5261</v>
      </c>
      <c r="F175" s="23" t="n">
        <v>2</v>
      </c>
      <c r="G175" s="24">
        <f>D175*H175</f>
        <v>44.31</v>
      </c>
      <c r="H175" s="25" t="n">
        <v>150</v>
      </c>
    </row>
    <row r="176">
      <c r="A176" s="20" t="inlineStr">
        <is>
          <t>8caf9b10-31b5-4ef6-9791-ffc7f15bd8fe</t>
        </is>
      </c>
      <c r="B176" s="4" t="inlineStr">
        <is>
          <t>Ethan Ohana</t>
        </is>
      </c>
      <c r="C176" s="6" t="inlineStr">
        <is>
          <t>ethan.ohana214@gmail.com</t>
        </is>
      </c>
      <c r="D176" s="21" t="n">
        <v>0.3053</v>
      </c>
      <c r="E176" s="22" t="n">
        <v>15.7949</v>
      </c>
      <c r="F176" s="23" t="n">
        <v>2</v>
      </c>
      <c r="G176" s="24">
        <f>D176*H176</f>
        <v>45.795</v>
      </c>
      <c r="H176" s="25" t="n">
        <v>150</v>
      </c>
    </row>
    <row r="177">
      <c r="A177" s="20" t="inlineStr">
        <is>
          <t>caa3202b-78c4-404d-b248-f4e7e8161f9f</t>
        </is>
      </c>
      <c r="B177" s="4" t="inlineStr">
        <is>
          <t>Ethan Ohana</t>
        </is>
      </c>
      <c r="C177" s="6" t="inlineStr">
        <is>
          <t>ethan.ohana214@gmail.com</t>
        </is>
      </c>
      <c r="D177" s="21" t="n">
        <v>0.3199</v>
      </c>
      <c r="E177" s="22" t="n">
        <v>21.7952</v>
      </c>
      <c r="F177" s="23" t="n">
        <v>3</v>
      </c>
      <c r="G177" s="24">
        <f>D177*H177</f>
        <v>47.985</v>
      </c>
      <c r="H177" s="25" t="n">
        <v>150</v>
      </c>
    </row>
    <row r="178">
      <c r="A178" s="20" t="inlineStr">
        <is>
          <t>4e94263e-f923-41e8-a20c-0dd35a5df1a5</t>
        </is>
      </c>
      <c r="B178" s="4" t="inlineStr">
        <is>
          <t>Ethan Ohana</t>
        </is>
      </c>
      <c r="C178" s="6" t="inlineStr">
        <is>
          <t>ethan.ohana214@gmail.com</t>
        </is>
      </c>
      <c r="D178" s="21" t="n">
        <v>0.3282</v>
      </c>
      <c r="E178" s="22" t="n">
        <v>24</v>
      </c>
      <c r="F178" s="23" t="n">
        <v>2</v>
      </c>
      <c r="G178" s="24">
        <f>D178*H178</f>
        <v>49.23</v>
      </c>
      <c r="H178" s="25" t="n">
        <v>150</v>
      </c>
    </row>
    <row r="179">
      <c r="A179" s="20" t="inlineStr">
        <is>
          <t>a91f1df3-60fc-4653-9526-1bcf32c5b26d</t>
        </is>
      </c>
      <c r="B179" s="4" t="inlineStr">
        <is>
          <t>Ethan Ohana</t>
        </is>
      </c>
      <c r="C179" s="6" t="inlineStr">
        <is>
          <t>ethan.ohana214@gmail.com</t>
        </is>
      </c>
      <c r="D179" s="21" t="n">
        <v>0.3429</v>
      </c>
      <c r="E179" s="22" t="n">
        <v>26.7399</v>
      </c>
      <c r="F179" s="23" t="n">
        <v>4</v>
      </c>
      <c r="G179" s="24">
        <f>D179*H179</f>
        <v>51.434999999999995</v>
      </c>
      <c r="H179" s="25" t="n">
        <v>150</v>
      </c>
    </row>
    <row r="180">
      <c r="A180" s="20" t="inlineStr">
        <is>
          <t>34c1a376-2f51-497e-8f1c-b0ce32ef4aed</t>
        </is>
      </c>
      <c r="B180" s="4" t="inlineStr">
        <is>
          <t>Ethan Ohana</t>
        </is>
      </c>
      <c r="C180" s="6" t="inlineStr">
        <is>
          <t>ethan.ohana214@gmail.com</t>
        </is>
      </c>
      <c r="D180" s="21" t="n">
        <v>0.3572</v>
      </c>
      <c r="E180" s="22" t="n">
        <v>24.4224</v>
      </c>
      <c r="F180" s="23" t="n">
        <v>5</v>
      </c>
      <c r="G180" s="24">
        <f>D180*H180</f>
        <v>53.580000000000005</v>
      </c>
      <c r="H180" s="25" t="n">
        <v>150</v>
      </c>
    </row>
    <row r="181">
      <c r="A181" s="20" t="inlineStr">
        <is>
          <t>435a5366-14f6-4162-ae5e-cfd2451aa6e6</t>
        </is>
      </c>
      <c r="B181" s="4" t="inlineStr">
        <is>
          <t>Ethan Ohana</t>
        </is>
      </c>
      <c r="C181" s="6" t="inlineStr">
        <is>
          <t>ethan.ohana214@gmail.com</t>
        </is>
      </c>
      <c r="D181" s="21" t="n">
        <v>0.3585</v>
      </c>
      <c r="E181" s="22" t="n">
        <v>12.4009</v>
      </c>
      <c r="F181" s="23" t="n">
        <v>3</v>
      </c>
      <c r="G181" s="24">
        <f>D181*H181</f>
        <v>53.775</v>
      </c>
      <c r="H181" s="25" t="n">
        <v>150</v>
      </c>
    </row>
    <row r="182">
      <c r="A182" s="20" t="inlineStr">
        <is>
          <t>593bd5d3-3a6b-4c75-95dc-18710a52f135</t>
        </is>
      </c>
      <c r="B182" s="4" t="inlineStr">
        <is>
          <t>Ethan Ohana</t>
        </is>
      </c>
      <c r="C182" s="6" t="inlineStr">
        <is>
          <t>ethan.ohana214@gmail.com</t>
        </is>
      </c>
      <c r="D182" s="21" t="n">
        <v>0.3807</v>
      </c>
      <c r="E182" s="22" t="n">
        <v>15.3353</v>
      </c>
      <c r="F182" s="23" t="n">
        <v>5</v>
      </c>
      <c r="G182" s="24">
        <f>D182*H182</f>
        <v>57.105</v>
      </c>
      <c r="H182" s="25" t="n">
        <v>150</v>
      </c>
    </row>
    <row r="183">
      <c r="A183" s="20" t="inlineStr">
        <is>
          <t>4f926428-ccc6-4993-815c-416c65c73e38</t>
        </is>
      </c>
      <c r="B183" s="4" t="inlineStr">
        <is>
          <t>Ethan Ohana</t>
        </is>
      </c>
      <c r="C183" s="6" t="inlineStr">
        <is>
          <t>ethan.ohana214@gmail.com</t>
        </is>
      </c>
      <c r="D183" s="21" t="n">
        <v>0.3839</v>
      </c>
      <c r="E183" s="22" t="n">
        <v>24.085</v>
      </c>
      <c r="F183" s="23" t="n">
        <v>3</v>
      </c>
      <c r="G183" s="24">
        <f>D183*H183</f>
        <v>57.585</v>
      </c>
      <c r="H183" s="25" t="n">
        <v>150</v>
      </c>
    </row>
    <row r="184">
      <c r="A184" s="20" t="inlineStr">
        <is>
          <t>f587e0fd-58c8-4f76-8778-356ea1fd367d</t>
        </is>
      </c>
      <c r="B184" s="4" t="inlineStr">
        <is>
          <t>Ethan Ohana</t>
        </is>
      </c>
      <c r="C184" s="6" t="inlineStr">
        <is>
          <t>ethan.ohana214@gmail.com</t>
        </is>
      </c>
      <c r="D184" s="21" t="n">
        <v>0.4003</v>
      </c>
      <c r="E184" s="22" t="n">
        <v>20.9466</v>
      </c>
      <c r="F184" s="23" t="n">
        <v>4</v>
      </c>
      <c r="G184" s="24">
        <f>D184*H184</f>
        <v>60.045</v>
      </c>
      <c r="H184" s="25" t="n">
        <v>150</v>
      </c>
    </row>
    <row r="185">
      <c r="A185" s="20" t="inlineStr">
        <is>
          <t>1d5f852a-9f0d-42bd-a928-550478e944c7</t>
        </is>
      </c>
      <c r="B185" s="4" t="inlineStr">
        <is>
          <t>Ethan Ohana</t>
        </is>
      </c>
      <c r="C185" s="6" t="inlineStr">
        <is>
          <t>ethan.ohana214@gmail.com</t>
        </is>
      </c>
      <c r="D185" s="21" t="n">
        <v>0.4058</v>
      </c>
      <c r="E185" s="22" t="n">
        <v>12.4489</v>
      </c>
      <c r="F185" s="23" t="n">
        <v>2</v>
      </c>
      <c r="G185" s="24">
        <f>D185*H185</f>
        <v>60.87</v>
      </c>
      <c r="H185" s="25" t="n">
        <v>150</v>
      </c>
    </row>
    <row r="186">
      <c r="A186" s="20" t="inlineStr">
        <is>
          <t>31022aa9-a903-4e00-a88a-5e4399c5dcdd</t>
        </is>
      </c>
      <c r="B186" s="4" t="inlineStr">
        <is>
          <t>Ethan Ohana</t>
        </is>
      </c>
      <c r="C186" s="6" t="inlineStr">
        <is>
          <t>ethan.ohana214@gmail.com</t>
        </is>
      </c>
      <c r="D186" s="21" t="n">
        <v>0.4139</v>
      </c>
      <c r="E186" s="22" t="n">
        <v>12.9576</v>
      </c>
      <c r="F186" s="23" t="n">
        <v>3</v>
      </c>
      <c r="G186" s="24">
        <f>D186*H186</f>
        <v>62.085</v>
      </c>
      <c r="H186" s="25" t="n">
        <v>150</v>
      </c>
    </row>
    <row r="187">
      <c r="A187" s="20" t="inlineStr">
        <is>
          <t>30cc3687-80a8-4073-a886-b54b9312d80e</t>
        </is>
      </c>
      <c r="B187" s="4" t="inlineStr">
        <is>
          <t>Ethan Ohana</t>
        </is>
      </c>
      <c r="C187" s="6" t="inlineStr">
        <is>
          <t>ethan.ohana214@gmail.com</t>
        </is>
      </c>
      <c r="D187" s="21" t="n">
        <v>0.4996</v>
      </c>
      <c r="E187" s="22" t="n">
        <v>26.1307</v>
      </c>
      <c r="F187" s="23" t="n">
        <v>3</v>
      </c>
      <c r="G187" s="24">
        <f>D187*H187</f>
        <v>74.94</v>
      </c>
      <c r="H187" s="25" t="n">
        <v>150</v>
      </c>
    </row>
    <row r="188">
      <c r="A188" s="20" t="inlineStr">
        <is>
          <t>9e4be052-24b7-4bcc-a372-8a985cd8d482</t>
        </is>
      </c>
      <c r="B188" s="4" t="inlineStr">
        <is>
          <t>Ethan Ohana</t>
        </is>
      </c>
      <c r="C188" s="6" t="inlineStr">
        <is>
          <t>ethan.ohana214@gmail.com</t>
        </is>
      </c>
      <c r="D188" s="21" t="n">
        <v>0.5198</v>
      </c>
      <c r="E188" s="22" t="n">
        <v>23.0158</v>
      </c>
      <c r="F188" s="23" t="n">
        <v>9</v>
      </c>
      <c r="G188" s="24">
        <f>D188*H188</f>
        <v>77.97</v>
      </c>
      <c r="H188" s="25" t="n">
        <v>150</v>
      </c>
    </row>
    <row r="189">
      <c r="A189" s="20" t="inlineStr">
        <is>
          <t>db0bd757-134d-4f1e-933e-e4f32c0d6510</t>
        </is>
      </c>
      <c r="B189" s="4" t="inlineStr">
        <is>
          <t>Ethan Ohana</t>
        </is>
      </c>
      <c r="C189" s="6" t="inlineStr">
        <is>
          <t>ethan.ohana214@gmail.com</t>
        </is>
      </c>
      <c r="D189" s="21" t="n">
        <v>0.5985</v>
      </c>
      <c r="E189" s="22" t="n">
        <v>12.5906</v>
      </c>
      <c r="F189" s="23" t="n">
        <v>2</v>
      </c>
      <c r="G189" s="24">
        <f>D189*H189</f>
        <v>89.775</v>
      </c>
      <c r="H189" s="25" t="n">
        <v>150</v>
      </c>
    </row>
    <row r="190">
      <c r="A190" s="20" t="inlineStr">
        <is>
          <t>883f00b0-e740-4a8a-951e-be4ed0ca490d</t>
        </is>
      </c>
      <c r="B190" s="4" t="inlineStr">
        <is>
          <t>Ethan Ohana</t>
        </is>
      </c>
      <c r="C190" s="6" t="inlineStr">
        <is>
          <t>ethan.ohana214@gmail.com</t>
        </is>
      </c>
      <c r="D190" s="21" t="n">
        <v>0.6187</v>
      </c>
      <c r="E190" s="22" t="n">
        <v>34.6056</v>
      </c>
      <c r="F190" s="23" t="n">
        <v>5</v>
      </c>
      <c r="G190" s="24">
        <f>D190*H190</f>
        <v>92.805</v>
      </c>
      <c r="H190" s="25" t="n">
        <v>150</v>
      </c>
    </row>
    <row r="191">
      <c r="A191" s="20" t="inlineStr">
        <is>
          <t>d7218f82-26f7-4223-a106-7d529819c2b7</t>
        </is>
      </c>
      <c r="B191" s="4" t="inlineStr">
        <is>
          <t>Ethan Ohana</t>
        </is>
      </c>
      <c r="C191" s="6" t="inlineStr">
        <is>
          <t>ethan.ohana214@gmail.com</t>
        </is>
      </c>
      <c r="D191" s="21" t="n">
        <v>0.6882</v>
      </c>
      <c r="E191" s="22" t="n">
        <v>25.4771</v>
      </c>
      <c r="F191" s="23" t="n">
        <v>5</v>
      </c>
      <c r="G191" s="24">
        <f>D191*H191</f>
        <v>103.23</v>
      </c>
      <c r="H191" s="25" t="n">
        <v>150</v>
      </c>
    </row>
    <row r="192">
      <c r="A192" s="20" t="inlineStr">
        <is>
          <t>936edd5c-8141-4305-90f2-5a234bf1c9b8</t>
        </is>
      </c>
      <c r="B192" s="4" t="inlineStr">
        <is>
          <t>Ethan Ohana</t>
        </is>
      </c>
      <c r="C192" s="6" t="inlineStr">
        <is>
          <t>ethan.ohana214@gmail.com</t>
        </is>
      </c>
      <c r="D192" s="21" t="n">
        <v>0.7482</v>
      </c>
      <c r="E192" s="22" t="n">
        <v>37.519</v>
      </c>
      <c r="F192" s="23" t="n">
        <v>5</v>
      </c>
      <c r="G192" s="24">
        <f>D192*H192</f>
        <v>112.22999999999999</v>
      </c>
      <c r="H192" s="25" t="n">
        <v>150</v>
      </c>
    </row>
    <row r="193">
      <c r="A193" s="20" t="inlineStr">
        <is>
          <t>16411210-4e1b-4d0b-bcbb-681ce6078ea6</t>
        </is>
      </c>
      <c r="B193" s="4" t="inlineStr">
        <is>
          <t>Ethan Ohana</t>
        </is>
      </c>
      <c r="C193" s="6" t="inlineStr">
        <is>
          <t>ethan.ohana214@gmail.com</t>
        </is>
      </c>
      <c r="D193" s="21" t="n">
        <v>0.8114</v>
      </c>
      <c r="E193" s="22" t="n">
        <v>25.7659</v>
      </c>
      <c r="F193" s="23" t="n">
        <v>4</v>
      </c>
      <c r="G193" s="24">
        <f>D193*H193</f>
        <v>121.71000000000001</v>
      </c>
      <c r="H193" s="25" t="n">
        <v>150</v>
      </c>
    </row>
    <row r="194">
      <c r="A194" s="20" t="inlineStr">
        <is>
          <t>775558fe-9ade-4dae-bdd0-e25968dbf3b4</t>
        </is>
      </c>
      <c r="B194" s="4" t="inlineStr">
        <is>
          <t>Ethan Ohana</t>
        </is>
      </c>
      <c r="C194" s="6" t="inlineStr">
        <is>
          <t>ethan.ohana214@gmail.com</t>
        </is>
      </c>
      <c r="D194" s="21" t="n">
        <v>0.9228</v>
      </c>
      <c r="E194" s="22" t="n">
        <v>15.2232</v>
      </c>
      <c r="F194" s="23" t="n">
        <v>3</v>
      </c>
      <c r="G194" s="24">
        <f>D194*H194</f>
        <v>138.42</v>
      </c>
      <c r="H194" s="25" t="n">
        <v>150</v>
      </c>
    </row>
    <row r="195">
      <c r="A195" s="20" t="inlineStr">
        <is>
          <t>2330e74d-45d2-4053-b2f9-48e7e18dbd15</t>
        </is>
      </c>
      <c r="B195" s="4" t="inlineStr">
        <is>
          <t>Ethan Ohana</t>
        </is>
      </c>
      <c r="C195" s="6" t="inlineStr">
        <is>
          <t>ethan.ohana214@gmail.com</t>
        </is>
      </c>
      <c r="D195" s="21" t="n">
        <v>1.7572</v>
      </c>
      <c r="E195" s="22" t="n">
        <v>38.961</v>
      </c>
      <c r="F195" s="23" t="n">
        <v>5</v>
      </c>
      <c r="G195" s="24">
        <f>D195*H195</f>
        <v>263.58000000000004</v>
      </c>
      <c r="H195" s="25" t="n">
        <v>150</v>
      </c>
    </row>
    <row r="196">
      <c r="A196" s="20" t="inlineStr">
        <is>
          <t>f0109148-eef0-4a24-abb6-6aa2f928d658</t>
        </is>
      </c>
      <c r="B196" s="4" t="inlineStr">
        <is>
          <t>Ethan Ohana</t>
        </is>
      </c>
      <c r="C196" s="6" t="inlineStr">
        <is>
          <t>ethan.ohana214@gmail.com</t>
        </is>
      </c>
      <c r="D196" s="21" t="n">
        <v>1.9311</v>
      </c>
      <c r="E196" s="22" t="n">
        <v>63.3138</v>
      </c>
      <c r="F196" s="23" t="n">
        <v>7</v>
      </c>
      <c r="G196" s="24">
        <f>D196*H196</f>
        <v>289.665</v>
      </c>
      <c r="H196" s="25" t="n">
        <v>150</v>
      </c>
    </row>
    <row r="197">
      <c r="A197" s="20" t="inlineStr">
        <is>
          <t>1df22398-11b8-43c3-8370-7610bbf6e5fa</t>
        </is>
      </c>
      <c r="B197" s="4" t="inlineStr">
        <is>
          <t>Ethan Ohana</t>
        </is>
      </c>
      <c r="C197" s="6" t="inlineStr">
        <is>
          <t>ethan.ohana214@gmail.com</t>
        </is>
      </c>
      <c r="D197" s="21" t="n">
        <v>2.5233</v>
      </c>
      <c r="E197" s="22" t="n">
        <v>87.1601</v>
      </c>
      <c r="F197" s="23" t="n">
        <v>10</v>
      </c>
      <c r="G197" s="24">
        <f>D197*H197</f>
        <v>378.495</v>
      </c>
      <c r="H197" s="25" t="n">
        <v>150</v>
      </c>
    </row>
    <row r="198">
      <c r="A198" s="20" t="inlineStr">
        <is>
          <t>505c4d8a-c961-4322-869c-32f2d87f51bb</t>
        </is>
      </c>
      <c r="B198" s="4" t="inlineStr">
        <is>
          <t>Ethan Ohana</t>
        </is>
      </c>
      <c r="C198" s="6" t="inlineStr">
        <is>
          <t>ethan.ohana214@gmail.com</t>
        </is>
      </c>
      <c r="D198" s="21" t="n">
        <v>2.9824</v>
      </c>
      <c r="E198" s="22" t="n">
        <v>23.0415</v>
      </c>
      <c r="F198" s="23" t="n">
        <v>4</v>
      </c>
      <c r="G198" s="24">
        <f>D198*H198</f>
        <v>447.36</v>
      </c>
      <c r="H198" s="25" t="n">
        <v>150</v>
      </c>
    </row>
    <row r="199">
      <c r="A199" s="20" t="inlineStr">
        <is>
          <t>42c4704e-f190-4612-8101-0b206f4ff344</t>
        </is>
      </c>
      <c r="B199" s="4" t="inlineStr">
        <is>
          <t>Ethan Ohana</t>
        </is>
      </c>
      <c r="C199" s="6" t="inlineStr">
        <is>
          <t>ethan.ohana214@gmail.com</t>
        </is>
      </c>
      <c r="D199" s="21" t="n">
        <v>3.0876</v>
      </c>
      <c r="E199" s="22" t="n">
        <v>36.7908</v>
      </c>
      <c r="F199" s="23" t="n">
        <v>4</v>
      </c>
      <c r="G199" s="24">
        <f>D199*H199</f>
        <v>463.14000000000004</v>
      </c>
      <c r="H199" s="25" t="n">
        <v>150</v>
      </c>
    </row>
    <row r="200">
      <c r="A200" s="20" t="inlineStr">
        <is>
          <t>088208c9-1b88-4345-be89-f12c70936bfe</t>
        </is>
      </c>
      <c r="B200" s="4" t="inlineStr">
        <is>
          <t>Hinda Diakite</t>
        </is>
      </c>
      <c r="C200" s="6" t="inlineStr">
        <is>
          <t>diakite.hinda@gmail.com</t>
        </is>
      </c>
      <c r="D200" s="21" t="n">
        <v>0.0092</v>
      </c>
      <c r="E200" s="22" t="n">
        <v>0.06270000000000001</v>
      </c>
      <c r="F200" s="23" t="n">
        <v>1</v>
      </c>
      <c r="G200" s="24">
        <f>D200*H200</f>
        <v>1.38</v>
      </c>
      <c r="H200" s="25" t="n">
        <v>150</v>
      </c>
    </row>
    <row r="201">
      <c r="A201" s="20" t="inlineStr">
        <is>
          <t>166bb849-c24c-42e8-90dc-c705c24702ac</t>
        </is>
      </c>
      <c r="B201" s="4" t="inlineStr">
        <is>
          <t>Hinda Diakite</t>
        </is>
      </c>
      <c r="C201" s="6" t="inlineStr">
        <is>
          <t>diakite.hinda@gmail.com</t>
        </is>
      </c>
      <c r="D201" s="21" t="n">
        <v>0.0221</v>
      </c>
      <c r="E201" s="22" t="n">
        <v>0.1505</v>
      </c>
      <c r="F201" s="23" t="n">
        <v>1</v>
      </c>
      <c r="G201" s="24">
        <f>D201*H201</f>
        <v>3.3150000000000004</v>
      </c>
      <c r="H201" s="25" t="n">
        <v>150</v>
      </c>
    </row>
    <row r="202">
      <c r="A202" s="20" t="inlineStr">
        <is>
          <t>fb679417-b11d-4667-86f2-9c285b96afdd</t>
        </is>
      </c>
      <c r="B202" s="4" t="inlineStr">
        <is>
          <t>Hinda Diakite</t>
        </is>
      </c>
      <c r="C202" s="6" t="inlineStr">
        <is>
          <t>diakite.hinda@gmail.com</t>
        </is>
      </c>
      <c r="D202" s="21" t="n">
        <v>0.0308</v>
      </c>
      <c r="E202" s="22" t="n">
        <v>0.1026</v>
      </c>
      <c r="F202" s="23" t="n">
        <v>1</v>
      </c>
      <c r="G202" s="24">
        <f>D202*H202</f>
        <v>4.62</v>
      </c>
      <c r="H202" s="25" t="n">
        <v>150</v>
      </c>
    </row>
    <row r="203">
      <c r="A203" s="20" t="inlineStr">
        <is>
          <t>1e4babda-25b0-4f33-a71b-75ff462ee2d9</t>
        </is>
      </c>
      <c r="B203" s="4" t="inlineStr">
        <is>
          <t>Hinda Diakite</t>
        </is>
      </c>
      <c r="C203" s="6" t="inlineStr">
        <is>
          <t>diakite.hinda@gmail.com</t>
        </is>
      </c>
      <c r="D203" s="21" t="n">
        <v>0.3561</v>
      </c>
      <c r="E203" s="22" t="n">
        <v>8.156599999999999</v>
      </c>
      <c r="F203" s="23" t="n">
        <v>3</v>
      </c>
      <c r="G203" s="24">
        <f>D203*H203</f>
        <v>53.415000000000006</v>
      </c>
      <c r="H203" s="25" t="n">
        <v>150</v>
      </c>
    </row>
    <row r="204">
      <c r="A204" s="20" t="inlineStr">
        <is>
          <t>57d82710-d32b-43d2-adae-23186c77a2d4</t>
        </is>
      </c>
      <c r="B204" s="4" t="inlineStr">
        <is>
          <t>Hinda Diakite</t>
        </is>
      </c>
      <c r="C204" s="6" t="inlineStr">
        <is>
          <t>diakite.hinda@gmail.com</t>
        </is>
      </c>
      <c r="D204" s="21" t="n">
        <v>0.4216</v>
      </c>
      <c r="E204" s="22" t="n">
        <v>4.5493</v>
      </c>
      <c r="F204" s="23" t="n">
        <v>2</v>
      </c>
      <c r="G204" s="24">
        <f>D204*H204</f>
        <v>63.239999999999995</v>
      </c>
      <c r="H204" s="25" t="n">
        <v>150</v>
      </c>
    </row>
    <row r="205">
      <c r="A205" s="20" t="inlineStr">
        <is>
          <t>29335c48-e6d1-40ce-9492-a3b1d2a0562a</t>
        </is>
      </c>
      <c r="B205" s="4" t="inlineStr">
        <is>
          <t>Hinda Diakite</t>
        </is>
      </c>
      <c r="C205" s="6" t="inlineStr">
        <is>
          <t>diakite.hinda@gmail.com</t>
        </is>
      </c>
      <c r="D205" s="21" t="n">
        <v>0.7857</v>
      </c>
      <c r="E205" s="22" t="n">
        <v>27.7398</v>
      </c>
      <c r="F205" s="23" t="n">
        <v>4</v>
      </c>
      <c r="G205" s="24">
        <f>D205*H205</f>
        <v>117.85499999999999</v>
      </c>
      <c r="H205" s="25" t="n">
        <v>150</v>
      </c>
    </row>
    <row r="206">
      <c r="A206" s="20" t="inlineStr">
        <is>
          <t>349b9555-170b-4413-bc8e-7603f3fce73d</t>
        </is>
      </c>
      <c r="B206" s="4" t="inlineStr">
        <is>
          <t>Hinda Diakite</t>
        </is>
      </c>
      <c r="C206" s="6" t="inlineStr">
        <is>
          <t>diakite.hinda@gmail.com</t>
        </is>
      </c>
      <c r="D206" s="21" t="n">
        <v>1.4313</v>
      </c>
      <c r="E206" s="22" t="n">
        <v>50.2393</v>
      </c>
      <c r="F206" s="23" t="n">
        <v>7</v>
      </c>
      <c r="G206" s="24">
        <f>D206*H206</f>
        <v>214.695</v>
      </c>
      <c r="H206" s="25" t="n">
        <v>150</v>
      </c>
    </row>
    <row r="207">
      <c r="A207" s="20" t="inlineStr">
        <is>
          <t>e80dcf22-7700-406b-a574-520969b6bb16</t>
        </is>
      </c>
      <c r="B207" s="4" t="inlineStr">
        <is>
          <t>Hinda Diakite</t>
        </is>
      </c>
      <c r="C207" s="6" t="inlineStr">
        <is>
          <t>diakite.hinda@gmail.com</t>
        </is>
      </c>
      <c r="D207" s="21" t="n">
        <v>1.6265</v>
      </c>
      <c r="E207" s="22" t="n">
        <v>36.8195</v>
      </c>
      <c r="F207" s="23" t="n">
        <v>4</v>
      </c>
      <c r="G207" s="24">
        <f>D207*H207</f>
        <v>243.97500000000002</v>
      </c>
      <c r="H207" s="25" t="n">
        <v>150</v>
      </c>
    </row>
    <row r="208">
      <c r="A208" s="20" t="inlineStr">
        <is>
          <t>0a6d22a1-b6ac-45d9-82e3-1a2d7e61e2e9</t>
        </is>
      </c>
      <c r="B208" s="4" t="inlineStr">
        <is>
          <t>Sutton Zhang</t>
        </is>
      </c>
      <c r="C208" s="6" t="inlineStr">
        <is>
          <t>suttonzhang@hotmail.com</t>
        </is>
      </c>
      <c r="D208" s="21" t="n">
        <v>0</v>
      </c>
      <c r="E208" s="22" t="n">
        <v>12.0042</v>
      </c>
      <c r="F208" s="23" t="n">
        <v>2</v>
      </c>
      <c r="G208" s="24">
        <f>D208*H208</f>
        <v>0</v>
      </c>
      <c r="H208" s="25" t="n">
        <v>150</v>
      </c>
    </row>
    <row r="209">
      <c r="A209" s="20" t="inlineStr">
        <is>
          <t>0cfcdf4f-013a-4b90-88ff-c25fd6d6038f</t>
        </is>
      </c>
      <c r="B209" s="4" t="inlineStr">
        <is>
          <t>Sutton Zhang</t>
        </is>
      </c>
      <c r="C209" s="6" t="inlineStr">
        <is>
          <t>suttonzhang@hotmail.com</t>
        </is>
      </c>
      <c r="D209" s="21" t="n">
        <v>0</v>
      </c>
      <c r="E209" s="22" t="n">
        <v>27.5578</v>
      </c>
      <c r="F209" s="23" t="n">
        <v>5</v>
      </c>
      <c r="G209" s="24">
        <f>D209*H209</f>
        <v>0</v>
      </c>
      <c r="H209" s="25" t="n">
        <v>150</v>
      </c>
    </row>
    <row r="210">
      <c r="A210" s="20" t="inlineStr">
        <is>
          <t>1a50205c-8e59-425c-8f50-86e42d674fd3</t>
        </is>
      </c>
      <c r="B210" s="4" t="inlineStr">
        <is>
          <t>Sutton Zhang</t>
        </is>
      </c>
      <c r="C210" s="6" t="inlineStr">
        <is>
          <t>suttonzhang@hotmail.com</t>
        </is>
      </c>
      <c r="D210" s="21" t="n">
        <v>0</v>
      </c>
      <c r="E210" s="22" t="n">
        <v>12.2498</v>
      </c>
      <c r="F210" s="23" t="n">
        <v>3</v>
      </c>
      <c r="G210" s="24">
        <f>D210*H210</f>
        <v>0</v>
      </c>
      <c r="H210" s="25" t="n">
        <v>150</v>
      </c>
    </row>
    <row r="211">
      <c r="A211" s="20" t="inlineStr">
        <is>
          <t>3cd2357c-13f1-4a26-8044-869e3b384dba</t>
        </is>
      </c>
      <c r="B211" s="4" t="inlineStr">
        <is>
          <t>Sutton Zhang</t>
        </is>
      </c>
      <c r="C211" s="6" t="inlineStr">
        <is>
          <t>suttonzhang@hotmail.com</t>
        </is>
      </c>
      <c r="D211" s="21" t="n">
        <v>0</v>
      </c>
      <c r="E211" s="22" t="n">
        <v>0.008699999999999999</v>
      </c>
      <c r="F211" s="23" t="n">
        <v>1</v>
      </c>
      <c r="G211" s="24">
        <f>D211*H211</f>
        <v>0</v>
      </c>
      <c r="H211" s="25" t="n">
        <v>150</v>
      </c>
    </row>
    <row r="212">
      <c r="A212" s="20" t="inlineStr">
        <is>
          <t>4279f048-44e7-4453-9f2a-fa14d41bc925</t>
        </is>
      </c>
      <c r="B212" s="4" t="inlineStr">
        <is>
          <t>Sutton Zhang</t>
        </is>
      </c>
      <c r="C212" s="6" t="inlineStr">
        <is>
          <t>suttonzhang@hotmail.com</t>
        </is>
      </c>
      <c r="D212" s="21" t="n">
        <v>0</v>
      </c>
      <c r="E212" s="22" t="n">
        <v>25.4367</v>
      </c>
      <c r="F212" s="23" t="n">
        <v>3</v>
      </c>
      <c r="G212" s="24">
        <f>D212*H212</f>
        <v>0</v>
      </c>
      <c r="H212" s="25" t="n">
        <v>150</v>
      </c>
    </row>
    <row r="213">
      <c r="A213" s="20" t="inlineStr">
        <is>
          <t>5c424537-102b-4ac0-ad0f-688241a2e6c9</t>
        </is>
      </c>
      <c r="B213" s="4" t="inlineStr">
        <is>
          <t>Sutton Zhang</t>
        </is>
      </c>
      <c r="C213" s="6" t="inlineStr">
        <is>
          <t>suttonzhang@hotmail.com</t>
        </is>
      </c>
      <c r="D213" s="21" t="n">
        <v>0</v>
      </c>
      <c r="E213" s="22" t="n">
        <v>32.6529</v>
      </c>
      <c r="F213" s="23" t="n">
        <v>8</v>
      </c>
      <c r="G213" s="24">
        <f>D213*H213</f>
        <v>0</v>
      </c>
      <c r="H213" s="25" t="n">
        <v>150</v>
      </c>
    </row>
    <row r="214">
      <c r="A214" s="20" t="inlineStr">
        <is>
          <t>671f2dc8-d64f-4140-9837-bc7a9946c2aa</t>
        </is>
      </c>
      <c r="B214" s="4" t="inlineStr">
        <is>
          <t>Sutton Zhang</t>
        </is>
      </c>
      <c r="C214" s="6" t="inlineStr">
        <is>
          <t>suttonzhang@hotmail.com</t>
        </is>
      </c>
      <c r="D214" s="21" t="n">
        <v>0</v>
      </c>
      <c r="E214" s="22" t="n">
        <v>25.9231</v>
      </c>
      <c r="F214" s="23" t="n">
        <v>7</v>
      </c>
      <c r="G214" s="24">
        <f>D214*H214</f>
        <v>0</v>
      </c>
      <c r="H214" s="25" t="n">
        <v>150</v>
      </c>
    </row>
    <row r="215">
      <c r="A215" s="20" t="inlineStr">
        <is>
          <t>84165296-ad68-4dea-a29a-3ef5b28592ce</t>
        </is>
      </c>
      <c r="B215" s="4" t="inlineStr">
        <is>
          <t>Sutton Zhang</t>
        </is>
      </c>
      <c r="C215" s="6" t="inlineStr">
        <is>
          <t>suttonzhang@hotmail.com</t>
        </is>
      </c>
      <c r="D215" s="21" t="n">
        <v>0</v>
      </c>
      <c r="E215" s="22" t="n">
        <v>12.0041</v>
      </c>
      <c r="F215" s="23" t="n">
        <v>2</v>
      </c>
      <c r="G215" s="24">
        <f>D215*H215</f>
        <v>0</v>
      </c>
      <c r="H215" s="25" t="n">
        <v>150</v>
      </c>
    </row>
    <row r="216">
      <c r="A216" s="20" t="inlineStr">
        <is>
          <t>d545f490-83e0-41d4-abcb-220266c8dc38</t>
        </is>
      </c>
      <c r="B216" s="4" t="inlineStr">
        <is>
          <t>Sutton Zhang</t>
        </is>
      </c>
      <c r="C216" s="6" t="inlineStr">
        <is>
          <t>suttonzhang@hotmail.com</t>
        </is>
      </c>
      <c r="D216" s="21" t="n">
        <v>0</v>
      </c>
      <c r="E216" s="22" t="n">
        <v>12.5704</v>
      </c>
      <c r="F216" s="23" t="n">
        <v>5</v>
      </c>
      <c r="G216" s="24">
        <f>D216*H216</f>
        <v>0</v>
      </c>
      <c r="H216" s="25" t="n">
        <v>150</v>
      </c>
    </row>
    <row r="217">
      <c r="A217" s="20" t="inlineStr">
        <is>
          <t>d7ae88a0-fc89-4b20-a130-703f2c60600e</t>
        </is>
      </c>
      <c r="B217" s="4" t="inlineStr">
        <is>
          <t>Sutton Zhang</t>
        </is>
      </c>
      <c r="C217" s="6" t="inlineStr">
        <is>
          <t>suttonzhang@hotmail.com</t>
        </is>
      </c>
      <c r="D217" s="21" t="n">
        <v>0</v>
      </c>
      <c r="E217" s="22" t="n">
        <v>14.4452</v>
      </c>
      <c r="F217" s="23" t="n">
        <v>3</v>
      </c>
      <c r="G217" s="24">
        <f>D217*H217</f>
        <v>0</v>
      </c>
      <c r="H217" s="25" t="n">
        <v>150</v>
      </c>
    </row>
    <row r="218">
      <c r="A218" s="20" t="inlineStr">
        <is>
          <t>e07f8990-838e-4655-8d2f-653ffd684822</t>
        </is>
      </c>
      <c r="B218" s="4" t="inlineStr">
        <is>
          <t>Sutton Zhang</t>
        </is>
      </c>
      <c r="C218" s="6" t="inlineStr">
        <is>
          <t>suttonzhang@hotmail.com</t>
        </is>
      </c>
      <c r="D218" s="21" t="n">
        <v>0</v>
      </c>
      <c r="E218" s="22" t="n">
        <v>24.2125</v>
      </c>
      <c r="F218" s="23" t="n">
        <v>4</v>
      </c>
      <c r="G218" s="24">
        <f>D218*H218</f>
        <v>0</v>
      </c>
      <c r="H218" s="25" t="n">
        <v>150</v>
      </c>
    </row>
    <row r="219">
      <c r="A219" s="20" t="inlineStr">
        <is>
          <t>dfc9c881-f138-464a-90a0-06f19c1e81a4</t>
        </is>
      </c>
      <c r="B219" s="4" t="inlineStr">
        <is>
          <t>Sutton Zhang</t>
        </is>
      </c>
      <c r="C219" s="6" t="inlineStr">
        <is>
          <t>suttonzhang@hotmail.com</t>
        </is>
      </c>
      <c r="D219" s="21" t="n">
        <v>0.0058</v>
      </c>
      <c r="E219" s="22" t="n">
        <v>0.1994</v>
      </c>
      <c r="F219" s="23" t="n">
        <v>1</v>
      </c>
      <c r="G219" s="24">
        <f>D219*H219</f>
        <v>0.8699999999999999</v>
      </c>
      <c r="H219" s="25" t="n">
        <v>150</v>
      </c>
    </row>
    <row r="220">
      <c r="A220" s="20" t="inlineStr">
        <is>
          <t>8f56506d-be15-4512-b836-3b4a62ab9a27</t>
        </is>
      </c>
      <c r="B220" s="4" t="inlineStr">
        <is>
          <t>Sutton Zhang</t>
        </is>
      </c>
      <c r="C220" s="6" t="inlineStr">
        <is>
          <t>suttonzhang@hotmail.com</t>
        </is>
      </c>
      <c r="D220" s="21" t="n">
        <v>0.0321</v>
      </c>
      <c r="E220" s="22" t="n">
        <v>1.7079</v>
      </c>
      <c r="F220" s="23" t="n">
        <v>1</v>
      </c>
      <c r="G220" s="24">
        <f>D220*H220</f>
        <v>4.8149999999999995</v>
      </c>
      <c r="H220" s="25" t="n">
        <v>150</v>
      </c>
    </row>
    <row r="221">
      <c r="A221" s="20" t="inlineStr">
        <is>
          <t>f8b4ab68-6883-4ef5-be96-31e938e6a8c6</t>
        </is>
      </c>
      <c r="B221" s="4" t="inlineStr">
        <is>
          <t>Sutton Zhang</t>
        </is>
      </c>
      <c r="C221" s="6" t="inlineStr">
        <is>
          <t>suttonzhang@hotmail.com</t>
        </is>
      </c>
      <c r="D221" s="21" t="n">
        <v>0.06619999999999999</v>
      </c>
      <c r="E221" s="22" t="n">
        <v>1.1272</v>
      </c>
      <c r="F221" s="23" t="n">
        <v>2</v>
      </c>
      <c r="G221" s="24">
        <f>D221*H221</f>
        <v>9.93</v>
      </c>
      <c r="H221" s="25" t="n">
        <v>150</v>
      </c>
    </row>
    <row r="222">
      <c r="A222" s="20" t="inlineStr">
        <is>
          <t>91535f3d-4455-4554-8e99-231c0282b62b</t>
        </is>
      </c>
      <c r="B222" s="4" t="inlineStr">
        <is>
          <t>Sutton Zhang</t>
        </is>
      </c>
      <c r="C222" s="6" t="inlineStr">
        <is>
          <t>suttonzhang@hotmail.com</t>
        </is>
      </c>
      <c r="D222" s="21" t="n">
        <v>0.0738</v>
      </c>
      <c r="E222" s="22" t="n">
        <v>12.8276</v>
      </c>
      <c r="F222" s="23" t="n">
        <v>2</v>
      </c>
      <c r="G222" s="24">
        <f>D222*H222</f>
        <v>11.07</v>
      </c>
      <c r="H222" s="25" t="n">
        <v>150</v>
      </c>
    </row>
    <row r="223">
      <c r="A223" s="20" t="inlineStr">
        <is>
          <t>6809af6b-9634-4465-b98c-dad47100b847</t>
        </is>
      </c>
      <c r="B223" s="4" t="inlineStr">
        <is>
          <t>Sutton Zhang</t>
        </is>
      </c>
      <c r="C223" s="6" t="inlineStr">
        <is>
          <t>suttonzhang@hotmail.com</t>
        </is>
      </c>
      <c r="D223" s="21" t="n">
        <v>0.07870000000000001</v>
      </c>
      <c r="E223" s="22" t="n">
        <v>1.0992</v>
      </c>
      <c r="F223" s="23" t="n">
        <v>1</v>
      </c>
      <c r="G223" s="24">
        <f>D223*H223</f>
        <v>11.805000000000001</v>
      </c>
      <c r="H223" s="25" t="n">
        <v>150</v>
      </c>
    </row>
    <row r="224">
      <c r="A224" s="20" t="inlineStr">
        <is>
          <t>2cc7ec04-9463-4928-baea-bd52795624ea</t>
        </is>
      </c>
      <c r="B224" s="4" t="inlineStr">
        <is>
          <t>Sutton Zhang</t>
        </is>
      </c>
      <c r="C224" s="6" t="inlineStr">
        <is>
          <t>suttonzhang@hotmail.com</t>
        </is>
      </c>
      <c r="D224" s="21" t="n">
        <v>0.116</v>
      </c>
      <c r="E224" s="22" t="n">
        <v>4.9717</v>
      </c>
      <c r="F224" s="23" t="n">
        <v>2</v>
      </c>
      <c r="G224" s="24">
        <f>D224*H224</f>
        <v>17.400000000000002</v>
      </c>
      <c r="H224" s="25" t="n">
        <v>150</v>
      </c>
    </row>
    <row r="225">
      <c r="A225" s="20" t="inlineStr">
        <is>
          <t>41d3078f-aa34-4960-ae4d-d8d0c9832f96</t>
        </is>
      </c>
      <c r="B225" s="4" t="inlineStr">
        <is>
          <t>Sutton Zhang</t>
        </is>
      </c>
      <c r="C225" s="6" t="inlineStr">
        <is>
          <t>suttonzhang@hotmail.com</t>
        </is>
      </c>
      <c r="D225" s="21" t="n">
        <v>0.1169</v>
      </c>
      <c r="E225" s="22" t="n">
        <v>13.6435</v>
      </c>
      <c r="F225" s="23" t="n">
        <v>3</v>
      </c>
      <c r="G225" s="24">
        <f>D225*H225</f>
        <v>17.535</v>
      </c>
      <c r="H225" s="25" t="n">
        <v>150</v>
      </c>
    </row>
    <row r="226">
      <c r="A226" s="20" t="inlineStr">
        <is>
          <t>8d4c1a1f-cd26-4dfc-826d-b28ddfc9ae6e</t>
        </is>
      </c>
      <c r="B226" s="4" t="inlineStr">
        <is>
          <t>Sutton Zhang</t>
        </is>
      </c>
      <c r="C226" s="6" t="inlineStr">
        <is>
          <t>suttonzhang@hotmail.com</t>
        </is>
      </c>
      <c r="D226" s="21" t="n">
        <v>0.1175</v>
      </c>
      <c r="E226" s="22" t="n">
        <v>12.0093</v>
      </c>
      <c r="F226" s="23" t="n">
        <v>2</v>
      </c>
      <c r="G226" s="24">
        <f>D226*H226</f>
        <v>17.625</v>
      </c>
      <c r="H226" s="25" t="n">
        <v>150</v>
      </c>
    </row>
    <row r="227">
      <c r="A227" s="20" t="inlineStr">
        <is>
          <t>ae4027a2-b822-4603-9726-6424c28c7045</t>
        </is>
      </c>
      <c r="B227" s="4" t="inlineStr">
        <is>
          <t>Sutton Zhang</t>
        </is>
      </c>
      <c r="C227" s="6" t="inlineStr">
        <is>
          <t>suttonzhang@hotmail.com</t>
        </is>
      </c>
      <c r="D227" s="21" t="n">
        <v>0.1289</v>
      </c>
      <c r="E227" s="22" t="n">
        <v>5.5308</v>
      </c>
      <c r="F227" s="23" t="n">
        <v>2</v>
      </c>
      <c r="G227" s="24">
        <f>D227*H227</f>
        <v>19.334999999999997</v>
      </c>
      <c r="H227" s="25" t="n">
        <v>150</v>
      </c>
    </row>
    <row r="228">
      <c r="A228" s="20" t="inlineStr">
        <is>
          <t>5fb345ed-9a93-411b-a16e-8416cb279502</t>
        </is>
      </c>
      <c r="B228" s="4" t="inlineStr">
        <is>
          <t>Sutton Zhang</t>
        </is>
      </c>
      <c r="C228" s="6" t="inlineStr">
        <is>
          <t>suttonzhang@hotmail.com</t>
        </is>
      </c>
      <c r="D228" s="21" t="n">
        <v>0.1358</v>
      </c>
      <c r="E228" s="22" t="n">
        <v>13.3008</v>
      </c>
      <c r="F228" s="23" t="n">
        <v>3</v>
      </c>
      <c r="G228" s="24">
        <f>D228*H228</f>
        <v>20.37</v>
      </c>
      <c r="H228" s="25" t="n">
        <v>150</v>
      </c>
    </row>
    <row r="229">
      <c r="A229" s="20" t="inlineStr">
        <is>
          <t>d16feb84-a68a-431a-98e9-1c4edc10d550</t>
        </is>
      </c>
      <c r="B229" s="4" t="inlineStr">
        <is>
          <t>Sutton Zhang</t>
        </is>
      </c>
      <c r="C229" s="6" t="inlineStr">
        <is>
          <t>suttonzhang@hotmail.com</t>
        </is>
      </c>
      <c r="D229" s="21" t="n">
        <v>0.1437</v>
      </c>
      <c r="E229" s="22" t="n">
        <v>24</v>
      </c>
      <c r="F229" s="23" t="n">
        <v>2</v>
      </c>
      <c r="G229" s="24">
        <f>D229*H229</f>
        <v>21.555</v>
      </c>
      <c r="H229" s="25" t="n">
        <v>150</v>
      </c>
    </row>
    <row r="230">
      <c r="A230" s="20" t="inlineStr">
        <is>
          <t>892d20c1-aaf0-4ddf-a2eb-ef946d5aa431</t>
        </is>
      </c>
      <c r="B230" s="4" t="inlineStr">
        <is>
          <t>Sutton Zhang</t>
        </is>
      </c>
      <c r="C230" s="6" t="inlineStr">
        <is>
          <t>suttonzhang@hotmail.com</t>
        </is>
      </c>
      <c r="D230" s="21" t="n">
        <v>0.1477</v>
      </c>
      <c r="E230" s="22" t="n">
        <v>12.013</v>
      </c>
      <c r="F230" s="23" t="n">
        <v>2</v>
      </c>
      <c r="G230" s="24">
        <f>D230*H230</f>
        <v>22.155</v>
      </c>
      <c r="H230" s="25" t="n">
        <v>150</v>
      </c>
    </row>
    <row r="231">
      <c r="A231" s="20" t="inlineStr">
        <is>
          <t>d97e6256-dffc-47ab-80e1-dae1f7e261a6</t>
        </is>
      </c>
      <c r="B231" s="4" t="inlineStr">
        <is>
          <t>Sutton Zhang</t>
        </is>
      </c>
      <c r="C231" s="6" t="inlineStr">
        <is>
          <t>suttonzhang@hotmail.com</t>
        </is>
      </c>
      <c r="D231" s="21" t="n">
        <v>0.1522</v>
      </c>
      <c r="E231" s="22" t="n">
        <v>12.0088</v>
      </c>
      <c r="F231" s="23" t="n">
        <v>2</v>
      </c>
      <c r="G231" s="24">
        <f>D231*H231</f>
        <v>22.830000000000002</v>
      </c>
      <c r="H231" s="25" t="n">
        <v>150</v>
      </c>
    </row>
    <row r="232">
      <c r="A232" s="20" t="inlineStr">
        <is>
          <t>34df7a8f-dc41-4bd6-97c3-888c9dff21e4</t>
        </is>
      </c>
      <c r="B232" s="4" t="inlineStr">
        <is>
          <t>Sutton Zhang</t>
        </is>
      </c>
      <c r="C232" s="6" t="inlineStr">
        <is>
          <t>suttonzhang@hotmail.com</t>
        </is>
      </c>
      <c r="D232" s="21" t="n">
        <v>0.1588</v>
      </c>
      <c r="E232" s="22" t="n">
        <v>13.3786</v>
      </c>
      <c r="F232" s="23" t="n">
        <v>4</v>
      </c>
      <c r="G232" s="24">
        <f>D232*H232</f>
        <v>23.82</v>
      </c>
      <c r="H232" s="25" t="n">
        <v>150</v>
      </c>
    </row>
    <row r="233">
      <c r="A233" s="20" t="inlineStr">
        <is>
          <t>98832f26-cf86-4d0e-8d11-19c310b94d4f</t>
        </is>
      </c>
      <c r="B233" s="4" t="inlineStr">
        <is>
          <t>Sutton Zhang</t>
        </is>
      </c>
      <c r="C233" s="6" t="inlineStr">
        <is>
          <t>suttonzhang@hotmail.com</t>
        </is>
      </c>
      <c r="D233" s="21" t="n">
        <v>0.1595</v>
      </c>
      <c r="E233" s="22" t="n">
        <v>15.4406</v>
      </c>
      <c r="F233" s="23" t="n">
        <v>5</v>
      </c>
      <c r="G233" s="24">
        <f>D233*H233</f>
        <v>23.925</v>
      </c>
      <c r="H233" s="25" t="n">
        <v>150</v>
      </c>
    </row>
    <row r="234">
      <c r="A234" s="20" t="inlineStr">
        <is>
          <t>b60d0e0c-030a-4ed9-b9a7-b1108a80229f</t>
        </is>
      </c>
      <c r="B234" s="4" t="inlineStr">
        <is>
          <t>Sutton Zhang</t>
        </is>
      </c>
      <c r="C234" s="6" t="inlineStr">
        <is>
          <t>suttonzhang@hotmail.com</t>
        </is>
      </c>
      <c r="D234" s="21" t="n">
        <v>0.1613</v>
      </c>
      <c r="E234" s="22" t="n">
        <v>13.8408</v>
      </c>
      <c r="F234" s="23" t="n">
        <v>3</v>
      </c>
      <c r="G234" s="24">
        <f>D234*H234</f>
        <v>24.195</v>
      </c>
      <c r="H234" s="25" t="n">
        <v>150</v>
      </c>
    </row>
    <row r="235">
      <c r="A235" s="20" t="inlineStr">
        <is>
          <t>58e37a7d-9144-4ea6-940a-c210cd1cc45e</t>
        </is>
      </c>
      <c r="B235" s="4" t="inlineStr">
        <is>
          <t>Sutton Zhang</t>
        </is>
      </c>
      <c r="C235" s="6" t="inlineStr">
        <is>
          <t>suttonzhang@hotmail.com</t>
        </is>
      </c>
      <c r="D235" s="21" t="n">
        <v>0.1765</v>
      </c>
      <c r="E235" s="22" t="n">
        <v>15.9432</v>
      </c>
      <c r="F235" s="23" t="n">
        <v>5</v>
      </c>
      <c r="G235" s="24">
        <f>D235*H235</f>
        <v>26.474999999999998</v>
      </c>
      <c r="H235" s="25" t="n">
        <v>150</v>
      </c>
    </row>
    <row r="236">
      <c r="A236" s="20" t="inlineStr">
        <is>
          <t>7b166c6e-73ef-46fd-8a3f-5822a53945f9</t>
        </is>
      </c>
      <c r="B236" s="4" t="inlineStr">
        <is>
          <t>Sutton Zhang</t>
        </is>
      </c>
      <c r="C236" s="6" t="inlineStr">
        <is>
          <t>suttonzhang@hotmail.com</t>
        </is>
      </c>
      <c r="D236" s="21" t="n">
        <v>0.1868</v>
      </c>
      <c r="E236" s="22" t="n">
        <v>12.2819</v>
      </c>
      <c r="F236" s="23" t="n">
        <v>3</v>
      </c>
      <c r="G236" s="24">
        <f>D236*H236</f>
        <v>28.02</v>
      </c>
      <c r="H236" s="25" t="n">
        <v>150</v>
      </c>
    </row>
    <row r="237">
      <c r="A237" s="20" t="inlineStr">
        <is>
          <t>e9771e16-f40f-4a49-a129-12084752a178</t>
        </is>
      </c>
      <c r="B237" s="4" t="inlineStr">
        <is>
          <t>Sutton Zhang</t>
        </is>
      </c>
      <c r="C237" s="6" t="inlineStr">
        <is>
          <t>suttonzhang@hotmail.com</t>
        </is>
      </c>
      <c r="D237" s="21" t="n">
        <v>0.2058</v>
      </c>
      <c r="E237" s="22" t="n">
        <v>15.4413</v>
      </c>
      <c r="F237" s="23" t="n">
        <v>4</v>
      </c>
      <c r="G237" s="24">
        <f>D237*H237</f>
        <v>30.87</v>
      </c>
      <c r="H237" s="25" t="n">
        <v>150</v>
      </c>
    </row>
    <row r="238">
      <c r="A238" s="20" t="inlineStr">
        <is>
          <t>e989b7b7-a66b-4e7c-ac27-79eb1a3281c3</t>
        </is>
      </c>
      <c r="B238" s="4" t="inlineStr">
        <is>
          <t>Sutton Zhang</t>
        </is>
      </c>
      <c r="C238" s="6" t="inlineStr">
        <is>
          <t>suttonzhang@hotmail.com</t>
        </is>
      </c>
      <c r="D238" s="21" t="n">
        <v>0.2107</v>
      </c>
      <c r="E238" s="22" t="n">
        <v>28.4989</v>
      </c>
      <c r="F238" s="23" t="n">
        <v>4</v>
      </c>
      <c r="G238" s="24">
        <f>D238*H238</f>
        <v>31.605</v>
      </c>
      <c r="H238" s="25" t="n">
        <v>150</v>
      </c>
    </row>
    <row r="239">
      <c r="A239" s="20" t="inlineStr">
        <is>
          <t>4425047c-ae41-4256-991d-120925fcac8d</t>
        </is>
      </c>
      <c r="B239" s="4" t="inlineStr">
        <is>
          <t>Sutton Zhang</t>
        </is>
      </c>
      <c r="C239" s="6" t="inlineStr">
        <is>
          <t>suttonzhang@hotmail.com</t>
        </is>
      </c>
      <c r="D239" s="21" t="n">
        <v>0.2163</v>
      </c>
      <c r="E239" s="22" t="n">
        <v>5.7883</v>
      </c>
      <c r="F239" s="23" t="n">
        <v>3</v>
      </c>
      <c r="G239" s="24">
        <f>D239*H239</f>
        <v>32.445</v>
      </c>
      <c r="H239" s="25" t="n">
        <v>150</v>
      </c>
    </row>
    <row r="240">
      <c r="A240" s="20" t="inlineStr">
        <is>
          <t>07d0a46e-3c94-495f-9d5f-f9b39567ebc7</t>
        </is>
      </c>
      <c r="B240" s="4" t="inlineStr">
        <is>
          <t>Sutton Zhang</t>
        </is>
      </c>
      <c r="C240" s="6" t="inlineStr">
        <is>
          <t>suttonzhang@hotmail.com</t>
        </is>
      </c>
      <c r="D240" s="21" t="n">
        <v>0.2329</v>
      </c>
      <c r="E240" s="22" t="n">
        <v>27.2793</v>
      </c>
      <c r="F240" s="23" t="n">
        <v>4</v>
      </c>
      <c r="G240" s="24">
        <f>D240*H240</f>
        <v>34.935</v>
      </c>
      <c r="H240" s="25" t="n">
        <v>150</v>
      </c>
    </row>
    <row r="241">
      <c r="A241" s="20" t="inlineStr">
        <is>
          <t>ee85f1b6-c2a9-4643-ade3-8b1d3675bfdf</t>
        </is>
      </c>
      <c r="B241" s="4" t="inlineStr">
        <is>
          <t>Sutton Zhang</t>
        </is>
      </c>
      <c r="C241" s="6" t="inlineStr">
        <is>
          <t>suttonzhang@hotmail.com</t>
        </is>
      </c>
      <c r="D241" s="21" t="n">
        <v>0.247</v>
      </c>
      <c r="E241" s="22" t="n">
        <v>26.6825</v>
      </c>
      <c r="F241" s="23" t="n">
        <v>4</v>
      </c>
      <c r="G241" s="24">
        <f>D241*H241</f>
        <v>37.05</v>
      </c>
      <c r="H241" s="25" t="n">
        <v>150</v>
      </c>
    </row>
    <row r="242">
      <c r="A242" s="20" t="inlineStr">
        <is>
          <t>c1dc16dc-c3e0-4bd9-b8c2-c9ae326d393a</t>
        </is>
      </c>
      <c r="B242" s="4" t="inlineStr">
        <is>
          <t>Sutton Zhang</t>
        </is>
      </c>
      <c r="C242" s="6" t="inlineStr">
        <is>
          <t>suttonzhang@hotmail.com</t>
        </is>
      </c>
      <c r="D242" s="21" t="n">
        <v>0.249</v>
      </c>
      <c r="E242" s="22" t="n">
        <v>28.2076</v>
      </c>
      <c r="F242" s="23" t="n">
        <v>6</v>
      </c>
      <c r="G242" s="24">
        <f>D242*H242</f>
        <v>37.35</v>
      </c>
      <c r="H242" s="25" t="n">
        <v>150</v>
      </c>
    </row>
    <row r="243">
      <c r="A243" s="20" t="inlineStr">
        <is>
          <t>adc36e8f-1d5b-4912-bc22-0ebab245a9a6</t>
        </is>
      </c>
      <c r="B243" s="4" t="inlineStr">
        <is>
          <t>Sutton Zhang</t>
        </is>
      </c>
      <c r="C243" s="6" t="inlineStr">
        <is>
          <t>suttonzhang@hotmail.com</t>
        </is>
      </c>
      <c r="D243" s="21" t="n">
        <v>0.2497</v>
      </c>
      <c r="E243" s="22" t="n">
        <v>26.3586</v>
      </c>
      <c r="F243" s="23" t="n">
        <v>4</v>
      </c>
      <c r="G243" s="24">
        <f>D243*H243</f>
        <v>37.455</v>
      </c>
      <c r="H243" s="25" t="n">
        <v>150</v>
      </c>
    </row>
    <row r="244">
      <c r="A244" s="20" t="inlineStr">
        <is>
          <t>550b70c3-687f-440f-bc74-216937652629</t>
        </is>
      </c>
      <c r="B244" s="4" t="inlineStr">
        <is>
          <t>Sutton Zhang</t>
        </is>
      </c>
      <c r="C244" s="6" t="inlineStr">
        <is>
          <t>suttonzhang@hotmail.com</t>
        </is>
      </c>
      <c r="D244" s="21" t="n">
        <v>0.2557</v>
      </c>
      <c r="E244" s="22" t="n">
        <v>21.0264</v>
      </c>
      <c r="F244" s="23" t="n">
        <v>4</v>
      </c>
      <c r="G244" s="24">
        <f>D244*H244</f>
        <v>38.355</v>
      </c>
      <c r="H244" s="25" t="n">
        <v>150</v>
      </c>
    </row>
    <row r="245">
      <c r="A245" s="20" t="inlineStr">
        <is>
          <t>c44a77ee-8ae5-45cc-9034-ed8433a3fc70</t>
        </is>
      </c>
      <c r="B245" s="4" t="inlineStr">
        <is>
          <t>Sutton Zhang</t>
        </is>
      </c>
      <c r="C245" s="6" t="inlineStr">
        <is>
          <t>suttonzhang@hotmail.com</t>
        </is>
      </c>
      <c r="D245" s="21" t="n">
        <v>0.2589</v>
      </c>
      <c r="E245" s="22" t="n">
        <v>12.3402</v>
      </c>
      <c r="F245" s="23" t="n">
        <v>3</v>
      </c>
      <c r="G245" s="24">
        <f>D245*H245</f>
        <v>38.835</v>
      </c>
      <c r="H245" s="25" t="n">
        <v>150</v>
      </c>
    </row>
    <row r="246">
      <c r="A246" s="20" t="inlineStr">
        <is>
          <t>c23bfbbc-c3c6-4560-802f-aa1eef687029</t>
        </is>
      </c>
      <c r="B246" s="4" t="inlineStr">
        <is>
          <t>Sutton Zhang</t>
        </is>
      </c>
      <c r="C246" s="6" t="inlineStr">
        <is>
          <t>suttonzhang@hotmail.com</t>
        </is>
      </c>
      <c r="D246" s="21" t="n">
        <v>0.2822</v>
      </c>
      <c r="E246" s="22" t="n">
        <v>40.5732</v>
      </c>
      <c r="F246" s="23" t="n">
        <v>6</v>
      </c>
      <c r="G246" s="24">
        <f>D246*H246</f>
        <v>42.33</v>
      </c>
      <c r="H246" s="25" t="n">
        <v>150</v>
      </c>
    </row>
    <row r="247">
      <c r="A247" s="20" t="inlineStr">
        <is>
          <t>c01efc80-aeca-4814-b81e-aabcac5e6c5d</t>
        </is>
      </c>
      <c r="B247" s="4" t="inlineStr">
        <is>
          <t>Sutton Zhang</t>
        </is>
      </c>
      <c r="C247" s="6" t="inlineStr">
        <is>
          <t>suttonzhang@hotmail.com</t>
        </is>
      </c>
      <c r="D247" s="21" t="n">
        <v>0.283</v>
      </c>
      <c r="E247" s="22" t="n">
        <v>7.6012</v>
      </c>
      <c r="F247" s="23" t="n">
        <v>3</v>
      </c>
      <c r="G247" s="24">
        <f>D247*H247</f>
        <v>42.449999999999996</v>
      </c>
      <c r="H247" s="25" t="n">
        <v>150</v>
      </c>
    </row>
    <row r="248">
      <c r="A248" s="20" t="inlineStr">
        <is>
          <t>ebefe965-68ca-4f71-b73b-0168ae381829</t>
        </is>
      </c>
      <c r="B248" s="4" t="inlineStr">
        <is>
          <t>Sutton Zhang</t>
        </is>
      </c>
      <c r="C248" s="6" t="inlineStr">
        <is>
          <t>suttonzhang@hotmail.com</t>
        </is>
      </c>
      <c r="D248" s="21" t="n">
        <v>0.2963</v>
      </c>
      <c r="E248" s="22" t="n">
        <v>14.533</v>
      </c>
      <c r="F248" s="23" t="n">
        <v>2</v>
      </c>
      <c r="G248" s="24">
        <f>D248*H248</f>
        <v>44.445</v>
      </c>
      <c r="H248" s="25" t="n">
        <v>150</v>
      </c>
    </row>
    <row r="249">
      <c r="A249" s="20" t="inlineStr">
        <is>
          <t>2f5d99cd-1ee3-469e-9874-4338b3e44d43</t>
        </is>
      </c>
      <c r="B249" s="4" t="inlineStr">
        <is>
          <t>Sutton Zhang</t>
        </is>
      </c>
      <c r="C249" s="6" t="inlineStr">
        <is>
          <t>suttonzhang@hotmail.com</t>
        </is>
      </c>
      <c r="D249" s="21" t="n">
        <v>0.3055</v>
      </c>
      <c r="E249" s="22" t="n">
        <v>6.5571</v>
      </c>
      <c r="F249" s="23" t="n">
        <v>5</v>
      </c>
      <c r="G249" s="24">
        <f>D249*H249</f>
        <v>45.824999999999996</v>
      </c>
      <c r="H249" s="25" t="n">
        <v>150</v>
      </c>
    </row>
    <row r="250">
      <c r="A250" s="20" t="inlineStr">
        <is>
          <t>91bc186c-2abe-4cc5-b543-6dae7be0373f</t>
        </is>
      </c>
      <c r="B250" s="4" t="inlineStr">
        <is>
          <t>Sutton Zhang</t>
        </is>
      </c>
      <c r="C250" s="6" t="inlineStr">
        <is>
          <t>suttonzhang@hotmail.com</t>
        </is>
      </c>
      <c r="D250" s="21" t="n">
        <v>0.3513</v>
      </c>
      <c r="E250" s="22" t="n">
        <v>3.7207</v>
      </c>
      <c r="F250" s="23" t="n">
        <v>2</v>
      </c>
      <c r="G250" s="24">
        <f>D250*H250</f>
        <v>52.695</v>
      </c>
      <c r="H250" s="25" t="n">
        <v>150</v>
      </c>
    </row>
    <row r="251">
      <c r="A251" s="20" t="inlineStr">
        <is>
          <t>eff051fd-5241-40d9-9c1e-f9b7d2780ad7</t>
        </is>
      </c>
      <c r="B251" s="4" t="inlineStr">
        <is>
          <t>Sutton Zhang</t>
        </is>
      </c>
      <c r="C251" s="6" t="inlineStr">
        <is>
          <t>suttonzhang@hotmail.com</t>
        </is>
      </c>
      <c r="D251" s="21" t="n">
        <v>0.3817</v>
      </c>
      <c r="E251" s="22" t="n">
        <v>7.1329</v>
      </c>
      <c r="F251" s="23" t="n">
        <v>2</v>
      </c>
      <c r="G251" s="24">
        <f>D251*H251</f>
        <v>57.254999999999995</v>
      </c>
      <c r="H251" s="25" t="n">
        <v>150</v>
      </c>
    </row>
    <row r="252">
      <c r="A252" s="20" t="inlineStr">
        <is>
          <t>24d5e57a-f2ea-402d-8c3a-b936c92fbb0a</t>
        </is>
      </c>
      <c r="B252" s="4" t="inlineStr">
        <is>
          <t>Sutton Zhang</t>
        </is>
      </c>
      <c r="C252" s="6" t="inlineStr">
        <is>
          <t>suttonzhang@hotmail.com</t>
        </is>
      </c>
      <c r="D252" s="21" t="n">
        <v>0.3943</v>
      </c>
      <c r="E252" s="22" t="n">
        <v>44.3125</v>
      </c>
      <c r="F252" s="23" t="n">
        <v>10</v>
      </c>
      <c r="G252" s="24">
        <f>D252*H252</f>
        <v>59.144999999999996</v>
      </c>
      <c r="H252" s="25" t="n">
        <v>150</v>
      </c>
    </row>
    <row r="253">
      <c r="A253" s="20" t="inlineStr">
        <is>
          <t>1fa7aeb5-592a-4843-bb54-d4a3b2991ad5</t>
        </is>
      </c>
      <c r="B253" s="4" t="inlineStr">
        <is>
          <t>Sutton Zhang</t>
        </is>
      </c>
      <c r="C253" s="6" t="inlineStr">
        <is>
          <t>suttonzhang@hotmail.com</t>
        </is>
      </c>
      <c r="D253" s="21" t="n">
        <v>0.4002</v>
      </c>
      <c r="E253" s="22" t="n">
        <v>9.1549</v>
      </c>
      <c r="F253" s="23" t="n">
        <v>3</v>
      </c>
      <c r="G253" s="24">
        <f>D253*H253</f>
        <v>60.03</v>
      </c>
      <c r="H253" s="25" t="n">
        <v>150</v>
      </c>
    </row>
    <row r="254">
      <c r="A254" s="20" t="inlineStr">
        <is>
          <t>5a94c8b6-2c61-4582-ba50-30b8d2ec92d4</t>
        </is>
      </c>
      <c r="B254" s="4" t="inlineStr">
        <is>
          <t>Sutton Zhang</t>
        </is>
      </c>
      <c r="C254" s="6" t="inlineStr">
        <is>
          <t>suttonzhang@hotmail.com</t>
        </is>
      </c>
      <c r="D254" s="21" t="n">
        <v>0.4005</v>
      </c>
      <c r="E254" s="22" t="n">
        <v>7.2952</v>
      </c>
      <c r="F254" s="23" t="n">
        <v>3</v>
      </c>
      <c r="G254" s="24">
        <f>D254*H254</f>
        <v>60.075</v>
      </c>
      <c r="H254" s="25" t="n">
        <v>150</v>
      </c>
    </row>
    <row r="255">
      <c r="A255" s="20" t="inlineStr">
        <is>
          <t>44cd0591-4796-440c-baf5-56fdc0767d73</t>
        </is>
      </c>
      <c r="B255" s="4" t="inlineStr">
        <is>
          <t>Sutton Zhang</t>
        </is>
      </c>
      <c r="C255" s="6" t="inlineStr">
        <is>
          <t>suttonzhang@hotmail.com</t>
        </is>
      </c>
      <c r="D255" s="21" t="n">
        <v>0.4432</v>
      </c>
      <c r="E255" s="22" t="n">
        <v>24.3732</v>
      </c>
      <c r="F255" s="23" t="n">
        <v>4</v>
      </c>
      <c r="G255" s="24">
        <f>D255*H255</f>
        <v>66.48</v>
      </c>
      <c r="H255" s="25" t="n">
        <v>150</v>
      </c>
    </row>
    <row r="256">
      <c r="A256" s="20" t="inlineStr">
        <is>
          <t>2cae1b5b-c5e0-4735-84cf-0a192b996564</t>
        </is>
      </c>
      <c r="B256" s="4" t="inlineStr">
        <is>
          <t>Sutton Zhang</t>
        </is>
      </c>
      <c r="C256" s="6" t="inlineStr">
        <is>
          <t>suttonzhang@hotmail.com</t>
        </is>
      </c>
      <c r="D256" s="21" t="n">
        <v>0.4484</v>
      </c>
      <c r="E256" s="22" t="n">
        <v>54.4135</v>
      </c>
      <c r="F256" s="23" t="n">
        <v>8</v>
      </c>
      <c r="G256" s="24">
        <f>D256*H256</f>
        <v>67.26</v>
      </c>
      <c r="H256" s="25" t="n">
        <v>150</v>
      </c>
    </row>
    <row r="257">
      <c r="A257" s="20" t="inlineStr">
        <is>
          <t>350634fa-ff92-4adc-b88e-38f6eed33199</t>
        </is>
      </c>
      <c r="B257" s="4" t="inlineStr">
        <is>
          <t>Sutton Zhang</t>
        </is>
      </c>
      <c r="C257" s="6" t="inlineStr">
        <is>
          <t>suttonzhang@hotmail.com</t>
        </is>
      </c>
      <c r="D257" s="21" t="n">
        <v>0.4822</v>
      </c>
      <c r="E257" s="22" t="n">
        <v>7.9475</v>
      </c>
      <c r="F257" s="23" t="n">
        <v>2</v>
      </c>
      <c r="G257" s="24">
        <f>D257*H257</f>
        <v>72.33</v>
      </c>
      <c r="H257" s="25" t="n">
        <v>150</v>
      </c>
    </row>
    <row r="258">
      <c r="A258" s="20" t="inlineStr">
        <is>
          <t>4d465bfa-8bf0-4b94-a7a1-3f01b4a46528</t>
        </is>
      </c>
      <c r="B258" s="4" t="inlineStr">
        <is>
          <t>Sutton Zhang</t>
        </is>
      </c>
      <c r="C258" s="6" t="inlineStr">
        <is>
          <t>suttonzhang@hotmail.com</t>
        </is>
      </c>
      <c r="D258" s="21" t="n">
        <v>0.5079</v>
      </c>
      <c r="E258" s="22" t="n">
        <v>12.0038</v>
      </c>
      <c r="F258" s="23" t="n">
        <v>2</v>
      </c>
      <c r="G258" s="24">
        <f>D258*H258</f>
        <v>76.185</v>
      </c>
      <c r="H258" s="25" t="n">
        <v>150</v>
      </c>
    </row>
    <row r="259">
      <c r="A259" s="20" t="inlineStr">
        <is>
          <t>7332bffd-75d9-41e2-9b25-96f63bf32b68</t>
        </is>
      </c>
      <c r="B259" s="4" t="inlineStr">
        <is>
          <t>Sutton Zhang</t>
        </is>
      </c>
      <c r="C259" s="6" t="inlineStr">
        <is>
          <t>suttonzhang@hotmail.com</t>
        </is>
      </c>
      <c r="D259" s="21" t="n">
        <v>0.5327</v>
      </c>
      <c r="E259" s="22" t="n">
        <v>12.011</v>
      </c>
      <c r="F259" s="23" t="n">
        <v>2</v>
      </c>
      <c r="G259" s="24">
        <f>D259*H259</f>
        <v>79.90499999999999</v>
      </c>
      <c r="H259" s="25" t="n">
        <v>150</v>
      </c>
    </row>
    <row r="260">
      <c r="A260" s="20" t="inlineStr">
        <is>
          <t>8e025c7e-0ee6-4605-858f-a8b5db9e7d43</t>
        </is>
      </c>
      <c r="B260" s="4" t="inlineStr">
        <is>
          <t>Sutton Zhang</t>
        </is>
      </c>
      <c r="C260" s="6" t="inlineStr">
        <is>
          <t>suttonzhang@hotmail.com</t>
        </is>
      </c>
      <c r="D260" s="21" t="n">
        <v>0.5472</v>
      </c>
      <c r="E260" s="22" t="n">
        <v>8.485099999999999</v>
      </c>
      <c r="F260" s="23" t="n">
        <v>3</v>
      </c>
      <c r="G260" s="24">
        <f>D260*H260</f>
        <v>82.08</v>
      </c>
      <c r="H260" s="25" t="n">
        <v>150</v>
      </c>
    </row>
    <row r="261">
      <c r="A261" s="20" t="inlineStr">
        <is>
          <t>7ef8bd47-fe3a-4fbb-b7dc-02fa68e3e1be</t>
        </is>
      </c>
      <c r="B261" s="4" t="inlineStr">
        <is>
          <t>Sutton Zhang</t>
        </is>
      </c>
      <c r="C261" s="6" t="inlineStr">
        <is>
          <t>suttonzhang@hotmail.com</t>
        </is>
      </c>
      <c r="D261" s="21" t="n">
        <v>0.5489000000000001</v>
      </c>
      <c r="E261" s="22" t="n">
        <v>54.8649</v>
      </c>
      <c r="F261" s="23" t="n">
        <v>13</v>
      </c>
      <c r="G261" s="24">
        <f>D261*H261</f>
        <v>82.33500000000001</v>
      </c>
      <c r="H261" s="25" t="n">
        <v>150</v>
      </c>
    </row>
    <row r="262">
      <c r="A262" s="20" t="inlineStr">
        <is>
          <t>9a95d77a-934e-417d-8bee-f7b86c81eadc</t>
        </is>
      </c>
      <c r="B262" s="4" t="inlineStr">
        <is>
          <t>Sutton Zhang</t>
        </is>
      </c>
      <c r="C262" s="6" t="inlineStr">
        <is>
          <t>suttonzhang@hotmail.com</t>
        </is>
      </c>
      <c r="D262" s="21" t="n">
        <v>0.5686</v>
      </c>
      <c r="E262" s="22" t="n">
        <v>31.5266</v>
      </c>
      <c r="F262" s="23" t="n">
        <v>10</v>
      </c>
      <c r="G262" s="24">
        <f>D262*H262</f>
        <v>85.28999999999999</v>
      </c>
      <c r="H262" s="25" t="n">
        <v>150</v>
      </c>
    </row>
    <row r="263">
      <c r="A263" s="20" t="inlineStr">
        <is>
          <t>0e1a2abb-fa71-40f9-9254-7a263808ca13</t>
        </is>
      </c>
      <c r="B263" s="4" t="inlineStr">
        <is>
          <t>Sutton Zhang</t>
        </is>
      </c>
      <c r="C263" s="6" t="inlineStr">
        <is>
          <t>suttonzhang@hotmail.com</t>
        </is>
      </c>
      <c r="D263" s="21" t="n">
        <v>0.5808</v>
      </c>
      <c r="E263" s="22" t="n">
        <v>8.7415</v>
      </c>
      <c r="F263" s="23" t="n">
        <v>3</v>
      </c>
      <c r="G263" s="24">
        <f>D263*H263</f>
        <v>87.12</v>
      </c>
      <c r="H263" s="25" t="n">
        <v>150</v>
      </c>
    </row>
    <row r="264">
      <c r="A264" s="20" t="inlineStr">
        <is>
          <t>2fcc9a26-fd0b-4b03-90a1-a5f4386ca94f</t>
        </is>
      </c>
      <c r="B264" s="4" t="inlineStr">
        <is>
          <t>Sutton Zhang</t>
        </is>
      </c>
      <c r="C264" s="6" t="inlineStr">
        <is>
          <t>suttonzhang@hotmail.com</t>
        </is>
      </c>
      <c r="D264" s="21" t="n">
        <v>0.587</v>
      </c>
      <c r="E264" s="22" t="n">
        <v>10.7059</v>
      </c>
      <c r="F264" s="23" t="n">
        <v>4</v>
      </c>
      <c r="G264" s="24">
        <f>D264*H264</f>
        <v>88.05</v>
      </c>
      <c r="H264" s="25" t="n">
        <v>150</v>
      </c>
    </row>
    <row r="265">
      <c r="A265" s="20" t="inlineStr">
        <is>
          <t>86d793d9-8ac2-4ef4-b9c3-96a640d52065</t>
        </is>
      </c>
      <c r="B265" s="4" t="inlineStr">
        <is>
          <t>Sutton Zhang</t>
        </is>
      </c>
      <c r="C265" s="6" t="inlineStr">
        <is>
          <t>suttonzhang@hotmail.com</t>
        </is>
      </c>
      <c r="D265" s="21" t="n">
        <v>0.596</v>
      </c>
      <c r="E265" s="22" t="n">
        <v>40.6884</v>
      </c>
      <c r="F265" s="23" t="n">
        <v>11</v>
      </c>
      <c r="G265" s="24">
        <f>D265*H265</f>
        <v>89.39999999999999</v>
      </c>
      <c r="H265" s="25" t="n">
        <v>150</v>
      </c>
    </row>
    <row r="266">
      <c r="A266" s="20" t="inlineStr">
        <is>
          <t>fece3440-dad4-41c6-87a2-ca4401e88ee9</t>
        </is>
      </c>
      <c r="B266" s="4" t="inlineStr">
        <is>
          <t>Sutton Zhang</t>
        </is>
      </c>
      <c r="C266" s="6" t="inlineStr">
        <is>
          <t>suttonzhang@hotmail.com</t>
        </is>
      </c>
      <c r="D266" s="21" t="n">
        <v>0.6531</v>
      </c>
      <c r="E266" s="22" t="n">
        <v>9.3079</v>
      </c>
      <c r="F266" s="23" t="n">
        <v>2</v>
      </c>
      <c r="G266" s="24">
        <f>D266*H266</f>
        <v>97.965</v>
      </c>
      <c r="H266" s="25" t="n">
        <v>150</v>
      </c>
    </row>
    <row r="267">
      <c r="A267" s="20" t="inlineStr">
        <is>
          <t>7047d7e3-fcdb-48a9-8509-81686e2e5c5b</t>
        </is>
      </c>
      <c r="B267" s="4" t="inlineStr">
        <is>
          <t>Sutton Zhang</t>
        </is>
      </c>
      <c r="C267" s="6" t="inlineStr">
        <is>
          <t>suttonzhang@hotmail.com</t>
        </is>
      </c>
      <c r="D267" s="21" t="n">
        <v>0.6642</v>
      </c>
      <c r="E267" s="22" t="n">
        <v>24.4284</v>
      </c>
      <c r="F267" s="23" t="n">
        <v>5</v>
      </c>
      <c r="G267" s="24">
        <f>D267*H267</f>
        <v>99.63</v>
      </c>
      <c r="H267" s="25" t="n">
        <v>150</v>
      </c>
    </row>
    <row r="268">
      <c r="A268" s="20" t="inlineStr">
        <is>
          <t>82127d92-a5c4-4aef-9220-2edad88f93b4</t>
        </is>
      </c>
      <c r="B268" s="4" t="inlineStr">
        <is>
          <t>Sutton Zhang</t>
        </is>
      </c>
      <c r="C268" s="6" t="inlineStr">
        <is>
          <t>suttonzhang@hotmail.com</t>
        </is>
      </c>
      <c r="D268" s="21" t="n">
        <v>0.6681</v>
      </c>
      <c r="E268" s="22" t="n">
        <v>13.7769</v>
      </c>
      <c r="F268" s="23" t="n">
        <v>3</v>
      </c>
      <c r="G268" s="24">
        <f>D268*H268</f>
        <v>100.215</v>
      </c>
      <c r="H268" s="25" t="n">
        <v>150</v>
      </c>
    </row>
    <row r="269">
      <c r="A269" s="20" t="inlineStr">
        <is>
          <t>589e6651-d5a1-4388-8aac-0837b6845d61</t>
        </is>
      </c>
      <c r="B269" s="4" t="inlineStr">
        <is>
          <t>Sutton Zhang</t>
        </is>
      </c>
      <c r="C269" s="6" t="inlineStr">
        <is>
          <t>suttonzhang@hotmail.com</t>
        </is>
      </c>
      <c r="D269" s="21" t="n">
        <v>0.6919</v>
      </c>
      <c r="E269" s="22" t="n">
        <v>17.2111</v>
      </c>
      <c r="F269" s="23" t="n">
        <v>8</v>
      </c>
      <c r="G269" s="24">
        <f>D269*H269</f>
        <v>103.785</v>
      </c>
      <c r="H269" s="25" t="n">
        <v>150</v>
      </c>
    </row>
    <row r="270">
      <c r="A270" s="20" t="inlineStr">
        <is>
          <t>f6ce9455-a09b-4486-ae74-f98bd70245cb</t>
        </is>
      </c>
      <c r="B270" s="4" t="inlineStr">
        <is>
          <t>Sutton Zhang</t>
        </is>
      </c>
      <c r="C270" s="6" t="inlineStr">
        <is>
          <t>suttonzhang@hotmail.com</t>
        </is>
      </c>
      <c r="D270" s="21" t="n">
        <v>0.704</v>
      </c>
      <c r="E270" s="22" t="n">
        <v>14.9465</v>
      </c>
      <c r="F270" s="23" t="n">
        <v>4</v>
      </c>
      <c r="G270" s="24">
        <f>D270*H270</f>
        <v>105.6</v>
      </c>
      <c r="H270" s="25" t="n">
        <v>150</v>
      </c>
    </row>
    <row r="271">
      <c r="A271" s="20" t="inlineStr">
        <is>
          <t>964baf3b-e76d-4a20-8950-96f9f33fa64c</t>
        </is>
      </c>
      <c r="B271" s="4" t="inlineStr">
        <is>
          <t>Sutton Zhang</t>
        </is>
      </c>
      <c r="C271" s="6" t="inlineStr">
        <is>
          <t>suttonzhang@hotmail.com</t>
        </is>
      </c>
      <c r="D271" s="21" t="n">
        <v>0.7278</v>
      </c>
      <c r="E271" s="22" t="n">
        <v>15.2297</v>
      </c>
      <c r="F271" s="23" t="n">
        <v>4</v>
      </c>
      <c r="G271" s="24">
        <f>D271*H271</f>
        <v>109.17</v>
      </c>
      <c r="H271" s="25" t="n">
        <v>150</v>
      </c>
    </row>
    <row r="272">
      <c r="A272" s="20" t="inlineStr">
        <is>
          <t>c123fe14-aefd-4284-a66d-9579c25f4c4e</t>
        </is>
      </c>
      <c r="B272" s="4" t="inlineStr">
        <is>
          <t>Sutton Zhang</t>
        </is>
      </c>
      <c r="C272" s="6" t="inlineStr">
        <is>
          <t>suttonzhang@hotmail.com</t>
        </is>
      </c>
      <c r="D272" s="21" t="n">
        <v>0.7325</v>
      </c>
      <c r="E272" s="22" t="n">
        <v>12.6671</v>
      </c>
      <c r="F272" s="23" t="n">
        <v>4</v>
      </c>
      <c r="G272" s="24">
        <f>D272*H272</f>
        <v>109.875</v>
      </c>
      <c r="H272" s="25" t="n">
        <v>150</v>
      </c>
    </row>
    <row r="273">
      <c r="A273" s="20" t="inlineStr">
        <is>
          <t>2fc9b189-96c4-4911-9416-66bbba7f0dc8</t>
        </is>
      </c>
      <c r="B273" s="4" t="inlineStr">
        <is>
          <t>Sutton Zhang</t>
        </is>
      </c>
      <c r="C273" s="6" t="inlineStr">
        <is>
          <t>suttonzhang@hotmail.com</t>
        </is>
      </c>
      <c r="D273" s="21" t="n">
        <v>0.7536</v>
      </c>
      <c r="E273" s="22" t="n">
        <v>15.3487</v>
      </c>
      <c r="F273" s="23" t="n">
        <v>3</v>
      </c>
      <c r="G273" s="24">
        <f>D273*H273</f>
        <v>113.04</v>
      </c>
      <c r="H273" s="25" t="n">
        <v>150</v>
      </c>
    </row>
    <row r="274">
      <c r="A274" s="20" t="inlineStr">
        <is>
          <t>323bc051-66fb-4bf0-a036-92d785c4ce07</t>
        </is>
      </c>
      <c r="B274" s="4" t="inlineStr">
        <is>
          <t>Sutton Zhang</t>
        </is>
      </c>
      <c r="C274" s="6" t="inlineStr">
        <is>
          <t>suttonzhang@hotmail.com</t>
        </is>
      </c>
      <c r="D274" s="21" t="n">
        <v>0.7719</v>
      </c>
      <c r="E274" s="22" t="n">
        <v>12.4036</v>
      </c>
      <c r="F274" s="23" t="n">
        <v>3</v>
      </c>
      <c r="G274" s="24">
        <f>D274*H274</f>
        <v>115.78500000000001</v>
      </c>
      <c r="H274" s="25" t="n">
        <v>150</v>
      </c>
    </row>
    <row r="275">
      <c r="A275" s="20" t="inlineStr">
        <is>
          <t>186b95ba-6fec-4f36-919e-5f3209a8130f</t>
        </is>
      </c>
      <c r="B275" s="4" t="inlineStr">
        <is>
          <t>Sutton Zhang</t>
        </is>
      </c>
      <c r="C275" s="6" t="inlineStr">
        <is>
          <t>suttonzhang@hotmail.com</t>
        </is>
      </c>
      <c r="D275" s="21" t="n">
        <v>0.7899</v>
      </c>
      <c r="E275" s="22" t="n">
        <v>38.7798</v>
      </c>
      <c r="F275" s="23" t="n">
        <v>9</v>
      </c>
      <c r="G275" s="24">
        <f>D275*H275</f>
        <v>118.48500000000001</v>
      </c>
      <c r="H275" s="25" t="n">
        <v>150</v>
      </c>
    </row>
    <row r="276">
      <c r="A276" s="20" t="inlineStr">
        <is>
          <t>a0e55366-13b4-4533-a5f6-4999b4461636</t>
        </is>
      </c>
      <c r="B276" s="4" t="inlineStr">
        <is>
          <t>Sutton Zhang</t>
        </is>
      </c>
      <c r="C276" s="6" t="inlineStr">
        <is>
          <t>suttonzhang@hotmail.com</t>
        </is>
      </c>
      <c r="D276" s="21" t="n">
        <v>0.8288</v>
      </c>
      <c r="E276" s="22" t="n">
        <v>12.1171</v>
      </c>
      <c r="F276" s="23" t="n">
        <v>3</v>
      </c>
      <c r="G276" s="24">
        <f>D276*H276</f>
        <v>124.32</v>
      </c>
      <c r="H276" s="25" t="n">
        <v>150</v>
      </c>
    </row>
    <row r="277">
      <c r="A277" s="20" t="inlineStr">
        <is>
          <t>8395257c-b90e-4b85-ace9-0aaaf872cf07</t>
        </is>
      </c>
      <c r="B277" s="4" t="inlineStr">
        <is>
          <t>Sutton Zhang</t>
        </is>
      </c>
      <c r="C277" s="6" t="inlineStr">
        <is>
          <t>suttonzhang@hotmail.com</t>
        </is>
      </c>
      <c r="D277" s="21" t="n">
        <v>0.8318</v>
      </c>
      <c r="E277" s="22" t="n">
        <v>12.0105</v>
      </c>
      <c r="F277" s="23" t="n">
        <v>2</v>
      </c>
      <c r="G277" s="24">
        <f>D277*H277</f>
        <v>124.77</v>
      </c>
      <c r="H277" s="25" t="n">
        <v>150</v>
      </c>
    </row>
    <row r="278">
      <c r="A278" s="20" t="inlineStr">
        <is>
          <t>fe733596-c154-4084-82aa-f3c41a616185</t>
        </is>
      </c>
      <c r="B278" s="4" t="inlineStr">
        <is>
          <t>Sutton Zhang</t>
        </is>
      </c>
      <c r="C278" s="6" t="inlineStr">
        <is>
          <t>suttonzhang@hotmail.com</t>
        </is>
      </c>
      <c r="D278" s="21" t="n">
        <v>0.882</v>
      </c>
      <c r="E278" s="22" t="n">
        <v>12.5936</v>
      </c>
      <c r="F278" s="23" t="n">
        <v>4</v>
      </c>
      <c r="G278" s="24">
        <f>D278*H278</f>
        <v>132.3</v>
      </c>
      <c r="H278" s="25" t="n">
        <v>150</v>
      </c>
    </row>
    <row r="279">
      <c r="A279" s="20" t="inlineStr">
        <is>
          <t>67d09ef2-c442-4a48-a5f2-72d14b1c2e6e</t>
        </is>
      </c>
      <c r="B279" s="4" t="inlineStr">
        <is>
          <t>Sutton Zhang</t>
        </is>
      </c>
      <c r="C279" s="6" t="inlineStr">
        <is>
          <t>suttonzhang@hotmail.com</t>
        </is>
      </c>
      <c r="D279" s="21" t="n">
        <v>0.8865</v>
      </c>
      <c r="E279" s="22" t="n">
        <v>12.1106</v>
      </c>
      <c r="F279" s="23" t="n">
        <v>3</v>
      </c>
      <c r="G279" s="24">
        <f>D279*H279</f>
        <v>132.975</v>
      </c>
      <c r="H279" s="25" t="n">
        <v>150</v>
      </c>
    </row>
    <row r="280">
      <c r="A280" s="20" t="inlineStr">
        <is>
          <t>8487e2c2-e829-4fec-aa33-ace41001e00c</t>
        </is>
      </c>
      <c r="B280" s="4" t="inlineStr">
        <is>
          <t>Sutton Zhang</t>
        </is>
      </c>
      <c r="C280" s="6" t="inlineStr">
        <is>
          <t>suttonzhang@hotmail.com</t>
        </is>
      </c>
      <c r="D280" s="21" t="n">
        <v>0.9215</v>
      </c>
      <c r="E280" s="22" t="n">
        <v>12.3905</v>
      </c>
      <c r="F280" s="23" t="n">
        <v>2</v>
      </c>
      <c r="G280" s="24">
        <f>D280*H280</f>
        <v>138.225</v>
      </c>
      <c r="H280" s="25" t="n">
        <v>150</v>
      </c>
    </row>
    <row r="281">
      <c r="A281" s="20" t="inlineStr">
        <is>
          <t>6c98e444-c1f2-4f77-8070-7ee25e353e96</t>
        </is>
      </c>
      <c r="B281" s="4" t="inlineStr">
        <is>
          <t>Sutton Zhang</t>
        </is>
      </c>
      <c r="C281" s="6" t="inlineStr">
        <is>
          <t>suttonzhang@hotmail.com</t>
        </is>
      </c>
      <c r="D281" s="21" t="n">
        <v>0.9436</v>
      </c>
      <c r="E281" s="22" t="n">
        <v>12.0061</v>
      </c>
      <c r="F281" s="23" t="n">
        <v>2</v>
      </c>
      <c r="G281" s="24">
        <f>D281*H281</f>
        <v>141.54</v>
      </c>
      <c r="H281" s="25" t="n">
        <v>150</v>
      </c>
    </row>
    <row r="282">
      <c r="A282" s="20" t="inlineStr">
        <is>
          <t>1134f459-ed3e-4dde-9007-edd6dc6f98f8</t>
        </is>
      </c>
      <c r="B282" s="4" t="inlineStr">
        <is>
          <t>Sutton Zhang</t>
        </is>
      </c>
      <c r="C282" s="6" t="inlineStr">
        <is>
          <t>suttonzhang@hotmail.com</t>
        </is>
      </c>
      <c r="D282" s="21" t="n">
        <v>1.1313</v>
      </c>
      <c r="E282" s="22" t="n">
        <v>14.3456</v>
      </c>
      <c r="F282" s="23" t="n">
        <v>5</v>
      </c>
      <c r="G282" s="24">
        <f>D282*H282</f>
        <v>169.695</v>
      </c>
      <c r="H282" s="25" t="n">
        <v>150</v>
      </c>
    </row>
    <row r="283">
      <c r="A283" s="20" t="inlineStr">
        <is>
          <t>ff98a40f-7a2a-4394-8d8c-1f7685b85cfc</t>
        </is>
      </c>
      <c r="B283" s="4" t="inlineStr">
        <is>
          <t>Sutton Zhang</t>
        </is>
      </c>
      <c r="C283" s="6" t="inlineStr">
        <is>
          <t>suttonzhang@hotmail.com</t>
        </is>
      </c>
      <c r="D283" s="21" t="n">
        <v>1.1792</v>
      </c>
      <c r="E283" s="22" t="n">
        <v>15.9806</v>
      </c>
      <c r="F283" s="23" t="n">
        <v>2</v>
      </c>
      <c r="G283" s="24">
        <f>D283*H283</f>
        <v>176.88</v>
      </c>
      <c r="H283" s="25" t="n">
        <v>150</v>
      </c>
    </row>
    <row r="284">
      <c r="A284" s="20" t="inlineStr">
        <is>
          <t>ae53ec03-33b5-467e-894b-fe76e2e9d540</t>
        </is>
      </c>
      <c r="B284" s="4" t="inlineStr">
        <is>
          <t>Sutton Zhang</t>
        </is>
      </c>
      <c r="C284" s="6" t="inlineStr">
        <is>
          <t>suttonzhang@hotmail.com</t>
        </is>
      </c>
      <c r="D284" s="21" t="n">
        <v>1.2469</v>
      </c>
      <c r="E284" s="22" t="n">
        <v>11.2808</v>
      </c>
      <c r="F284" s="23" t="n">
        <v>3</v>
      </c>
      <c r="G284" s="24">
        <f>D284*H284</f>
        <v>187.035</v>
      </c>
      <c r="H284" s="25" t="n">
        <v>150</v>
      </c>
    </row>
    <row r="285">
      <c r="A285" s="20" t="inlineStr">
        <is>
          <t>943494d4-fedf-4d22-ad20-dbe3bca92038</t>
        </is>
      </c>
      <c r="B285" s="4" t="inlineStr">
        <is>
          <t>Sutton Zhang</t>
        </is>
      </c>
      <c r="C285" s="6" t="inlineStr">
        <is>
          <t>suttonzhang@hotmail.com</t>
        </is>
      </c>
      <c r="D285" s="21" t="n">
        <v>1.247</v>
      </c>
      <c r="E285" s="22" t="n">
        <v>12.004</v>
      </c>
      <c r="F285" s="23" t="n">
        <v>2</v>
      </c>
      <c r="G285" s="24">
        <f>D285*H285</f>
        <v>187.05</v>
      </c>
      <c r="H285" s="25" t="n">
        <v>150</v>
      </c>
    </row>
    <row r="286">
      <c r="A286" s="20" t="inlineStr">
        <is>
          <t>9fded87d-0e3f-4701-93da-f01d087f96e4</t>
        </is>
      </c>
      <c r="B286" s="4" t="inlineStr">
        <is>
          <t>Sutton Zhang</t>
        </is>
      </c>
      <c r="C286" s="6" t="inlineStr">
        <is>
          <t>suttonzhang@hotmail.com</t>
        </is>
      </c>
      <c r="D286" s="21" t="n">
        <v>1.3172</v>
      </c>
      <c r="E286" s="22" t="n">
        <v>11.6681</v>
      </c>
      <c r="F286" s="23" t="n">
        <v>3</v>
      </c>
      <c r="G286" s="24">
        <f>D286*H286</f>
        <v>197.57999999999998</v>
      </c>
      <c r="H286" s="25" t="n">
        <v>150</v>
      </c>
    </row>
    <row r="287">
      <c r="A287" s="20" t="inlineStr">
        <is>
          <t>31f46002-a0a9-4b25-b313-54482a3bd815</t>
        </is>
      </c>
      <c r="B287" s="4" t="inlineStr">
        <is>
          <t>Sutton Zhang</t>
        </is>
      </c>
      <c r="C287" s="6" t="inlineStr">
        <is>
          <t>suttonzhang@hotmail.com</t>
        </is>
      </c>
      <c r="D287" s="21" t="n">
        <v>1.3325</v>
      </c>
      <c r="E287" s="22" t="n">
        <v>12.0111</v>
      </c>
      <c r="F287" s="23" t="n">
        <v>2</v>
      </c>
      <c r="G287" s="24">
        <f>D287*H287</f>
        <v>199.875</v>
      </c>
      <c r="H287" s="25" t="n">
        <v>150</v>
      </c>
    </row>
    <row r="288">
      <c r="A288" s="20" t="inlineStr">
        <is>
          <t>cda8fbff-c8dc-41ef-a314-9e82852e3077</t>
        </is>
      </c>
      <c r="B288" s="4" t="inlineStr">
        <is>
          <t>Sutton Zhang</t>
        </is>
      </c>
      <c r="C288" s="6" t="inlineStr">
        <is>
          <t>suttonzhang@hotmail.com</t>
        </is>
      </c>
      <c r="D288" s="21" t="n">
        <v>1.4433</v>
      </c>
      <c r="E288" s="22" t="n">
        <v>13.4072</v>
      </c>
      <c r="F288" s="23" t="n">
        <v>3</v>
      </c>
      <c r="G288" s="24">
        <f>D288*H288</f>
        <v>216.495</v>
      </c>
      <c r="H288" s="25" t="n">
        <v>150</v>
      </c>
    </row>
    <row r="289">
      <c r="A289" s="20" t="inlineStr">
        <is>
          <t>04044a66-a95d-4581-90dc-cd11a83f65b2</t>
        </is>
      </c>
      <c r="B289" s="4" t="inlineStr">
        <is>
          <t>Sutton Zhang</t>
        </is>
      </c>
      <c r="C289" s="6" t="inlineStr">
        <is>
          <t>suttonzhang@hotmail.com</t>
        </is>
      </c>
      <c r="D289" s="21" t="n">
        <v>1.4502</v>
      </c>
      <c r="E289" s="22" t="n">
        <v>14.6478</v>
      </c>
      <c r="F289" s="23" t="n">
        <v>3</v>
      </c>
      <c r="G289" s="24">
        <f>D289*H289</f>
        <v>217.53</v>
      </c>
      <c r="H289" s="25" t="n">
        <v>150</v>
      </c>
    </row>
    <row r="290">
      <c r="A290" s="20" t="inlineStr">
        <is>
          <t>ebabe598-a1e2-41e6-bf1c-f62547ce0399</t>
        </is>
      </c>
      <c r="B290" s="4" t="inlineStr">
        <is>
          <t>Sutton Zhang</t>
        </is>
      </c>
      <c r="C290" s="6" t="inlineStr">
        <is>
          <t>suttonzhang@hotmail.com</t>
        </is>
      </c>
      <c r="D290" s="21" t="n">
        <v>1.6053</v>
      </c>
      <c r="E290" s="22" t="n">
        <v>29.5057</v>
      </c>
      <c r="F290" s="23" t="n">
        <v>6</v>
      </c>
      <c r="G290" s="24">
        <f>D290*H290</f>
        <v>240.795</v>
      </c>
      <c r="H290" s="25" t="n">
        <v>150</v>
      </c>
    </row>
    <row r="291">
      <c r="A291" s="20" t="inlineStr">
        <is>
          <t>ed5ed2b3-00b3-4e9d-aee7-4491d705a5d1</t>
        </is>
      </c>
      <c r="B291" s="4" t="inlineStr">
        <is>
          <t>Sutton Zhang</t>
        </is>
      </c>
      <c r="C291" s="6" t="inlineStr">
        <is>
          <t>suttonzhang@hotmail.com</t>
        </is>
      </c>
      <c r="D291" s="21" t="n">
        <v>1.6076</v>
      </c>
      <c r="E291" s="22" t="n">
        <v>12.6933</v>
      </c>
      <c r="F291" s="23" t="n">
        <v>2</v>
      </c>
      <c r="G291" s="24">
        <f>D291*H291</f>
        <v>241.14</v>
      </c>
      <c r="H291" s="25" t="n">
        <v>150</v>
      </c>
    </row>
    <row r="292">
      <c r="A292" s="20" t="inlineStr">
        <is>
          <t>5d4d2837-9686-4bcc-9367-bf4ccd16013b</t>
        </is>
      </c>
      <c r="B292" s="4" t="inlineStr">
        <is>
          <t>Sutton Zhang</t>
        </is>
      </c>
      <c r="C292" s="6" t="inlineStr">
        <is>
          <t>suttonzhang@hotmail.com</t>
        </is>
      </c>
      <c r="D292" s="21" t="n">
        <v>1.6525</v>
      </c>
      <c r="E292" s="22" t="n">
        <v>25.2469</v>
      </c>
      <c r="F292" s="23" t="n">
        <v>4</v>
      </c>
      <c r="G292" s="24">
        <f>D292*H292</f>
        <v>247.875</v>
      </c>
      <c r="H292" s="25" t="n">
        <v>150</v>
      </c>
    </row>
    <row r="293">
      <c r="A293" s="20" t="inlineStr">
        <is>
          <t>25dff62a-76ce-4c77-8e4a-b484561a9630</t>
        </is>
      </c>
      <c r="B293" s="4" t="inlineStr">
        <is>
          <t>Sutton Zhang</t>
        </is>
      </c>
      <c r="C293" s="6" t="inlineStr">
        <is>
          <t>suttonzhang@hotmail.com</t>
        </is>
      </c>
      <c r="D293" s="21" t="n">
        <v>1.7102</v>
      </c>
      <c r="E293" s="22" t="n">
        <v>13.8011</v>
      </c>
      <c r="F293" s="23" t="n">
        <v>4</v>
      </c>
      <c r="G293" s="24">
        <f>D293*H293</f>
        <v>256.53</v>
      </c>
      <c r="H293" s="25" t="n">
        <v>150</v>
      </c>
    </row>
    <row r="294">
      <c r="A294" s="20" t="inlineStr">
        <is>
          <t>f46a3ed3-8ed2-4678-b085-5eb2e2516b0b</t>
        </is>
      </c>
      <c r="B294" s="4" t="inlineStr">
        <is>
          <t>Sutton Zhang</t>
        </is>
      </c>
      <c r="C294" s="6" t="inlineStr">
        <is>
          <t>suttonzhang@hotmail.com</t>
        </is>
      </c>
      <c r="D294" s="21" t="n">
        <v>1.7205</v>
      </c>
      <c r="E294" s="22" t="n">
        <v>20.6633</v>
      </c>
      <c r="F294" s="23" t="n">
        <v>4</v>
      </c>
      <c r="G294" s="24">
        <f>D294*H294</f>
        <v>258.075</v>
      </c>
      <c r="H294" s="25" t="n">
        <v>150</v>
      </c>
    </row>
    <row r="295">
      <c r="A295" s="20" t="inlineStr">
        <is>
          <t>73448906-a2b1-4c98-a490-6e5570ef0077</t>
        </is>
      </c>
      <c r="B295" s="4" t="inlineStr">
        <is>
          <t>Sutton Zhang</t>
        </is>
      </c>
      <c r="C295" s="6" t="inlineStr">
        <is>
          <t>suttonzhang@hotmail.com</t>
        </is>
      </c>
      <c r="D295" s="21" t="n">
        <v>1.7221</v>
      </c>
      <c r="E295" s="22" t="n">
        <v>36.3783</v>
      </c>
      <c r="F295" s="23" t="n">
        <v>10</v>
      </c>
      <c r="G295" s="24">
        <f>D295*H295</f>
        <v>258.315</v>
      </c>
      <c r="H295" s="25" t="n">
        <v>150</v>
      </c>
    </row>
    <row r="296">
      <c r="A296" s="20" t="inlineStr">
        <is>
          <t>a92057cc-3d18-4a5c-8954-4e4d2c94e817</t>
        </is>
      </c>
      <c r="B296" s="4" t="inlineStr">
        <is>
          <t>Sutton Zhang</t>
        </is>
      </c>
      <c r="C296" s="6" t="inlineStr">
        <is>
          <t>suttonzhang@hotmail.com</t>
        </is>
      </c>
      <c r="D296" s="21" t="n">
        <v>1.7337</v>
      </c>
      <c r="E296" s="22" t="n">
        <v>57.0865</v>
      </c>
      <c r="F296" s="23" t="n">
        <v>17</v>
      </c>
      <c r="G296" s="24">
        <f>D296*H296</f>
        <v>260.055</v>
      </c>
      <c r="H296" s="25" t="n">
        <v>150</v>
      </c>
    </row>
    <row r="297">
      <c r="A297" s="20" t="inlineStr">
        <is>
          <t>aa2ec361-74fc-418b-b13b-940d8bb8da09</t>
        </is>
      </c>
      <c r="B297" s="4" t="inlineStr">
        <is>
          <t>Sutton Zhang</t>
        </is>
      </c>
      <c r="C297" s="6" t="inlineStr">
        <is>
          <t>suttonzhang@hotmail.com</t>
        </is>
      </c>
      <c r="D297" s="21" t="n">
        <v>1.7581</v>
      </c>
      <c r="E297" s="22" t="n">
        <v>21.828</v>
      </c>
      <c r="F297" s="23" t="n">
        <v>6</v>
      </c>
      <c r="G297" s="24">
        <f>D297*H297</f>
        <v>263.715</v>
      </c>
      <c r="H297" s="25" t="n">
        <v>150</v>
      </c>
    </row>
    <row r="298">
      <c r="A298" s="20" t="inlineStr">
        <is>
          <t>2a2eb101-610c-4c97-ad39-f4419c773e1b</t>
        </is>
      </c>
      <c r="B298" s="4" t="inlineStr">
        <is>
          <t>Sutton Zhang</t>
        </is>
      </c>
      <c r="C298" s="6" t="inlineStr">
        <is>
          <t>suttonzhang@hotmail.com</t>
        </is>
      </c>
      <c r="D298" s="21" t="n">
        <v>1.797</v>
      </c>
      <c r="E298" s="22" t="n">
        <v>37.3192</v>
      </c>
      <c r="F298" s="23" t="n">
        <v>7</v>
      </c>
      <c r="G298" s="24">
        <f>D298*H298</f>
        <v>269.55</v>
      </c>
      <c r="H298" s="25" t="n">
        <v>150</v>
      </c>
    </row>
    <row r="299">
      <c r="A299" s="20" t="inlineStr">
        <is>
          <t>626570b2-ee46-4d06-b67d-1a10b3b57c10</t>
        </is>
      </c>
      <c r="B299" s="4" t="inlineStr">
        <is>
          <t>Sutton Zhang</t>
        </is>
      </c>
      <c r="C299" s="6" t="inlineStr">
        <is>
          <t>suttonzhang@hotmail.com</t>
        </is>
      </c>
      <c r="D299" s="21" t="n">
        <v>1.8554</v>
      </c>
      <c r="E299" s="22" t="n">
        <v>25.1455</v>
      </c>
      <c r="F299" s="23" t="n">
        <v>5</v>
      </c>
      <c r="G299" s="24">
        <f>D299*H299</f>
        <v>278.31</v>
      </c>
      <c r="H299" s="25" t="n">
        <v>150</v>
      </c>
    </row>
    <row r="300">
      <c r="A300" s="20" t="inlineStr">
        <is>
          <t>a16c2571-d9ff-417f-be66-e89c635557f3</t>
        </is>
      </c>
      <c r="B300" s="4" t="inlineStr">
        <is>
          <t>Sutton Zhang</t>
        </is>
      </c>
      <c r="C300" s="6" t="inlineStr">
        <is>
          <t>suttonzhang@hotmail.com</t>
        </is>
      </c>
      <c r="D300" s="21" t="n">
        <v>2.2837</v>
      </c>
      <c r="E300" s="22" t="n">
        <v>25.8846</v>
      </c>
      <c r="F300" s="23" t="n">
        <v>4</v>
      </c>
      <c r="G300" s="24">
        <f>D300*H300</f>
        <v>342.555</v>
      </c>
      <c r="H300" s="25" t="n">
        <v>150</v>
      </c>
    </row>
    <row r="301">
      <c r="A301" s="20" t="inlineStr">
        <is>
          <t>9bbe8d65-c3e9-4aae-a4c8-3d82acb2e019</t>
        </is>
      </c>
      <c r="B301" s="4" t="inlineStr">
        <is>
          <t>Sutton Zhang</t>
        </is>
      </c>
      <c r="C301" s="6" t="inlineStr">
        <is>
          <t>suttonzhang@hotmail.com</t>
        </is>
      </c>
      <c r="D301" s="21" t="n">
        <v>2.3542</v>
      </c>
      <c r="E301" s="22" t="n">
        <v>24.0081</v>
      </c>
      <c r="F301" s="23" t="n">
        <v>3</v>
      </c>
      <c r="G301" s="24">
        <f>D301*H301</f>
        <v>353.13</v>
      </c>
      <c r="H301" s="25" t="n">
        <v>150</v>
      </c>
    </row>
    <row r="302">
      <c r="A302" s="20" t="inlineStr">
        <is>
          <t>12732071-b009-423c-84ba-aac34f16617f</t>
        </is>
      </c>
      <c r="B302" s="4" t="inlineStr">
        <is>
          <t>Sutton Zhang</t>
        </is>
      </c>
      <c r="C302" s="6" t="inlineStr">
        <is>
          <t>suttonzhang@hotmail.com</t>
        </is>
      </c>
      <c r="D302" s="21" t="n">
        <v>3.1865</v>
      </c>
      <c r="E302" s="22" t="n">
        <v>36.7411</v>
      </c>
      <c r="F302" s="23" t="n">
        <v>5</v>
      </c>
      <c r="G302" s="24">
        <f>D302*H302</f>
        <v>477.975</v>
      </c>
      <c r="H302" s="25" t="n">
        <v>150</v>
      </c>
    </row>
    <row r="303">
      <c r="A303" s="20" t="inlineStr">
        <is>
          <t>a2b60945-b2ca-4141-b8a0-5fb04303d066</t>
        </is>
      </c>
      <c r="B303" s="4" t="inlineStr">
        <is>
          <t>Frank Collier</t>
        </is>
      </c>
      <c r="C303" s="6" t="inlineStr">
        <is>
          <t>frankcollier2018@gmail.com</t>
        </is>
      </c>
      <c r="D303" s="21" t="n">
        <v>0.0105</v>
      </c>
      <c r="E303" s="22" t="n">
        <v>0.1594</v>
      </c>
      <c r="F303" s="23" t="n">
        <v>1</v>
      </c>
      <c r="G303" s="24">
        <f>D303*H303</f>
        <v>1.5750000000000002</v>
      </c>
      <c r="H303" s="25" t="n">
        <v>150</v>
      </c>
    </row>
    <row r="304">
      <c r="A304" s="20" t="inlineStr">
        <is>
          <t>9c9bdb14-82f7-4e7b-96a1-61e784fb57ab</t>
        </is>
      </c>
      <c r="B304" s="4" t="inlineStr">
        <is>
          <t>Frank Collier</t>
        </is>
      </c>
      <c r="C304" s="6" t="inlineStr">
        <is>
          <t>frankcollier2018@gmail.com</t>
        </is>
      </c>
      <c r="D304" s="21" t="n">
        <v>0.0118</v>
      </c>
      <c r="E304" s="22" t="n">
        <v>0.1017</v>
      </c>
      <c r="F304" s="23" t="n">
        <v>1</v>
      </c>
      <c r="G304" s="24">
        <f>D304*H304</f>
        <v>1.77</v>
      </c>
      <c r="H304" s="25" t="n">
        <v>150</v>
      </c>
    </row>
    <row r="305">
      <c r="A305" s="20" t="inlineStr">
        <is>
          <t>e7dd39f6-93d9-437c-8e52-adabb213b75f</t>
        </is>
      </c>
      <c r="B305" s="4" t="inlineStr">
        <is>
          <t>Frank Collier</t>
        </is>
      </c>
      <c r="C305" s="6" t="inlineStr">
        <is>
          <t>frankcollier2018@gmail.com</t>
        </is>
      </c>
      <c r="D305" s="21" t="n">
        <v>0.0209</v>
      </c>
      <c r="E305" s="22" t="n">
        <v>0.1207</v>
      </c>
      <c r="F305" s="23" t="n">
        <v>1</v>
      </c>
      <c r="G305" s="24">
        <f>D305*H305</f>
        <v>3.135</v>
      </c>
      <c r="H305" s="25" t="n">
        <v>150</v>
      </c>
    </row>
    <row r="306">
      <c r="A306" s="20" t="inlineStr">
        <is>
          <t>cd3d892d-3d4a-410b-8386-e80b91e12aa0</t>
        </is>
      </c>
      <c r="B306" s="4" t="inlineStr">
        <is>
          <t>Frank Collier</t>
        </is>
      </c>
      <c r="C306" s="6" t="inlineStr">
        <is>
          <t>frankcollier2018@gmail.com</t>
        </is>
      </c>
      <c r="D306" s="21" t="n">
        <v>0.0256</v>
      </c>
      <c r="E306" s="22" t="n">
        <v>0.3686</v>
      </c>
      <c r="F306" s="23" t="n">
        <v>1</v>
      </c>
      <c r="G306" s="24">
        <f>D306*H306</f>
        <v>3.8400000000000003</v>
      </c>
      <c r="H306" s="25" t="n">
        <v>150</v>
      </c>
    </row>
    <row r="307">
      <c r="A307" s="20" t="inlineStr">
        <is>
          <t>e393c12f-c8f4-4bc7-83c7-d275c3a737b4</t>
        </is>
      </c>
      <c r="B307" s="4" t="inlineStr">
        <is>
          <t>Frank Collier</t>
        </is>
      </c>
      <c r="C307" s="6" t="inlineStr">
        <is>
          <t>frankcollier2018@gmail.com</t>
        </is>
      </c>
      <c r="D307" s="21" t="n">
        <v>0.029</v>
      </c>
      <c r="E307" s="22" t="n">
        <v>0.2704</v>
      </c>
      <c r="F307" s="23" t="n">
        <v>1</v>
      </c>
      <c r="G307" s="24">
        <f>D307*H307</f>
        <v>4.3500000000000005</v>
      </c>
      <c r="H307" s="25" t="n">
        <v>150</v>
      </c>
    </row>
    <row r="308">
      <c r="A308" s="20" t="inlineStr">
        <is>
          <t>dcc657d4-3a26-4fc8-8fef-47811d4c9d45</t>
        </is>
      </c>
      <c r="B308" s="4" t="inlineStr">
        <is>
          <t>Frank Collier</t>
        </is>
      </c>
      <c r="C308" s="6" t="inlineStr">
        <is>
          <t>frankcollier2018@gmail.com</t>
        </is>
      </c>
      <c r="D308" s="21" t="n">
        <v>0.0516</v>
      </c>
      <c r="E308" s="22" t="n">
        <v>0.28</v>
      </c>
      <c r="F308" s="23" t="n">
        <v>1</v>
      </c>
      <c r="G308" s="24">
        <f>D308*H308</f>
        <v>7.74</v>
      </c>
      <c r="H308" s="25" t="n">
        <v>150</v>
      </c>
    </row>
    <row r="309">
      <c r="A309" s="20" t="inlineStr">
        <is>
          <t>607c9720-bfb5-48b5-ad1d-62390b1a1e7f</t>
        </is>
      </c>
      <c r="B309" s="4" t="inlineStr">
        <is>
          <t>Frank Collier</t>
        </is>
      </c>
      <c r="C309" s="6" t="inlineStr">
        <is>
          <t>frankcollier2018@gmail.com</t>
        </is>
      </c>
      <c r="D309" s="21" t="n">
        <v>0.0522</v>
      </c>
      <c r="E309" s="22" t="n">
        <v>0.0722</v>
      </c>
      <c r="F309" s="23" t="n">
        <v>1</v>
      </c>
      <c r="G309" s="24">
        <f>D309*H309</f>
        <v>7.83</v>
      </c>
      <c r="H309" s="25" t="n">
        <v>150</v>
      </c>
    </row>
    <row r="310">
      <c r="A310" s="20" t="inlineStr">
        <is>
          <t>04b3f9a3-2fc2-4c84-ac30-e2fda2b6b42d</t>
        </is>
      </c>
      <c r="B310" s="4" t="inlineStr">
        <is>
          <t>Frank Collier</t>
        </is>
      </c>
      <c r="C310" s="6" t="inlineStr">
        <is>
          <t>frankcollier2018@gmail.com</t>
        </is>
      </c>
      <c r="D310" s="21" t="n">
        <v>0.0697</v>
      </c>
      <c r="E310" s="22" t="n">
        <v>0.2443</v>
      </c>
      <c r="F310" s="23" t="n">
        <v>1</v>
      </c>
      <c r="G310" s="24">
        <f>D310*H310</f>
        <v>10.455</v>
      </c>
      <c r="H310" s="25" t="n">
        <v>150</v>
      </c>
    </row>
    <row r="311">
      <c r="A311" s="20" t="inlineStr">
        <is>
          <t>f67c227e-abfc-41c1-8003-3286433510b3</t>
        </is>
      </c>
      <c r="B311" s="4" t="inlineStr">
        <is>
          <t>Frank Collier</t>
        </is>
      </c>
      <c r="C311" s="6" t="inlineStr">
        <is>
          <t>frankcollier2018@gmail.com</t>
        </is>
      </c>
      <c r="D311" s="21" t="n">
        <v>0.0762</v>
      </c>
      <c r="E311" s="22" t="n">
        <v>12.2145</v>
      </c>
      <c r="F311" s="23" t="n">
        <v>2</v>
      </c>
      <c r="G311" s="24">
        <f>D311*H311</f>
        <v>11.43</v>
      </c>
      <c r="H311" s="25" t="n">
        <v>150</v>
      </c>
    </row>
    <row r="312">
      <c r="A312" s="20" t="inlineStr">
        <is>
          <t>350c03b0-ba79-431f-8330-9e7b7e16943e</t>
        </is>
      </c>
      <c r="B312" s="4" t="inlineStr">
        <is>
          <t>Frank Collier</t>
        </is>
      </c>
      <c r="C312" s="6" t="inlineStr">
        <is>
          <t>frankcollier2018@gmail.com</t>
        </is>
      </c>
      <c r="D312" s="21" t="n">
        <v>0.1348</v>
      </c>
      <c r="E312" s="22" t="n">
        <v>2.7195</v>
      </c>
      <c r="F312" s="23" t="n">
        <v>1</v>
      </c>
      <c r="G312" s="24">
        <f>D312*H312</f>
        <v>20.22</v>
      </c>
      <c r="H312" s="25" t="n">
        <v>150</v>
      </c>
    </row>
    <row r="313">
      <c r="A313" s="20" t="inlineStr">
        <is>
          <t>c7ef0a1a-9fca-4ef2-a355-93fcc78359e1</t>
        </is>
      </c>
      <c r="B313" s="4" t="inlineStr">
        <is>
          <t>Frank Collier</t>
        </is>
      </c>
      <c r="C313" s="6" t="inlineStr">
        <is>
          <t>frankcollier2018@gmail.com</t>
        </is>
      </c>
      <c r="D313" s="21" t="n">
        <v>0.1938</v>
      </c>
      <c r="E313" s="22" t="n">
        <v>12.325</v>
      </c>
      <c r="F313" s="23" t="n">
        <v>3</v>
      </c>
      <c r="G313" s="24">
        <f>D313*H313</f>
        <v>29.07</v>
      </c>
      <c r="H313" s="25" t="n">
        <v>150</v>
      </c>
    </row>
    <row r="314">
      <c r="A314" s="20" t="inlineStr">
        <is>
          <t>121f89f6-cf1d-467f-95c8-1088ee160b38</t>
        </is>
      </c>
      <c r="B314" s="4" t="inlineStr">
        <is>
          <t>Frank Collier</t>
        </is>
      </c>
      <c r="C314" s="6" t="inlineStr">
        <is>
          <t>frankcollier2018@gmail.com</t>
        </is>
      </c>
      <c r="D314" s="21" t="n">
        <v>0.2028</v>
      </c>
      <c r="E314" s="22" t="n">
        <v>0.3496</v>
      </c>
      <c r="F314" s="23" t="n">
        <v>1</v>
      </c>
      <c r="G314" s="24">
        <f>D314*H314</f>
        <v>30.42</v>
      </c>
      <c r="H314" s="25" t="n">
        <v>150</v>
      </c>
    </row>
    <row r="315">
      <c r="A315" s="20" t="inlineStr">
        <is>
          <t>6e6e27e0-fbe3-4e73-870a-256ee19b9bfc</t>
        </is>
      </c>
      <c r="B315" s="4" t="inlineStr">
        <is>
          <t>Frank Collier</t>
        </is>
      </c>
      <c r="C315" s="6" t="inlineStr">
        <is>
          <t>frankcollier2018@gmail.com</t>
        </is>
      </c>
      <c r="D315" s="21" t="n">
        <v>0.2188</v>
      </c>
      <c r="E315" s="22" t="n">
        <v>6.5579</v>
      </c>
      <c r="F315" s="23" t="n">
        <v>2</v>
      </c>
      <c r="G315" s="24">
        <f>D315*H315</f>
        <v>32.82</v>
      </c>
      <c r="H315" s="25" t="n">
        <v>150</v>
      </c>
    </row>
    <row r="316">
      <c r="A316" s="20" t="inlineStr">
        <is>
          <t>d63d2b50-2e09-46a8-a6da-7bdf5dce5aab</t>
        </is>
      </c>
      <c r="B316" s="4" t="inlineStr">
        <is>
          <t>Frank Collier</t>
        </is>
      </c>
      <c r="C316" s="6" t="inlineStr">
        <is>
          <t>frankcollier2018@gmail.com</t>
        </is>
      </c>
      <c r="D316" s="21" t="n">
        <v>0.2309</v>
      </c>
      <c r="E316" s="22" t="n">
        <v>12.2267</v>
      </c>
      <c r="F316" s="23" t="n">
        <v>2</v>
      </c>
      <c r="G316" s="24">
        <f>D316*H316</f>
        <v>34.635</v>
      </c>
      <c r="H316" s="25" t="n">
        <v>150</v>
      </c>
    </row>
    <row r="317">
      <c r="A317" s="20" t="inlineStr">
        <is>
          <t>3db7d59e-8e1e-4c66-9f84-dad19fd23aaa</t>
        </is>
      </c>
      <c r="B317" s="4" t="inlineStr">
        <is>
          <t>Frank Collier</t>
        </is>
      </c>
      <c r="C317" s="6" t="inlineStr">
        <is>
          <t>frankcollier2018@gmail.com</t>
        </is>
      </c>
      <c r="D317" s="21" t="n">
        <v>0.2392</v>
      </c>
      <c r="E317" s="22" t="n">
        <v>12.1509</v>
      </c>
      <c r="F317" s="23" t="n">
        <v>2</v>
      </c>
      <c r="G317" s="24">
        <f>D317*H317</f>
        <v>35.88</v>
      </c>
      <c r="H317" s="25" t="n">
        <v>150</v>
      </c>
    </row>
    <row r="318">
      <c r="A318" s="20" t="inlineStr">
        <is>
          <t>4130aba0-c9a8-404e-b1b8-6e35e3ef3a1d</t>
        </is>
      </c>
      <c r="B318" s="4" t="inlineStr">
        <is>
          <t>Frank Collier</t>
        </is>
      </c>
      <c r="C318" s="6" t="inlineStr">
        <is>
          <t>frankcollier2018@gmail.com</t>
        </is>
      </c>
      <c r="D318" s="21" t="n">
        <v>0.26</v>
      </c>
      <c r="E318" s="22" t="n">
        <v>7.7964</v>
      </c>
      <c r="F318" s="23" t="n">
        <v>2</v>
      </c>
      <c r="G318" s="24">
        <f>D318*H318</f>
        <v>39.0</v>
      </c>
      <c r="H318" s="25" t="n">
        <v>150</v>
      </c>
    </row>
    <row r="319">
      <c r="A319" s="20" t="inlineStr">
        <is>
          <t>c74f972e-6ad0-44e8-afb0-7597d13f795b</t>
        </is>
      </c>
      <c r="B319" s="4" t="inlineStr">
        <is>
          <t>Frank Collier</t>
        </is>
      </c>
      <c r="C319" s="6" t="inlineStr">
        <is>
          <t>frankcollier2018@gmail.com</t>
        </is>
      </c>
      <c r="D319" s="21" t="n">
        <v>0.2679</v>
      </c>
      <c r="E319" s="22" t="n">
        <v>19.6642</v>
      </c>
      <c r="F319" s="23" t="n">
        <v>2</v>
      </c>
      <c r="G319" s="24">
        <f>D319*H319</f>
        <v>40.185</v>
      </c>
      <c r="H319" s="25" t="n">
        <v>150</v>
      </c>
    </row>
    <row r="320">
      <c r="A320" s="20" t="inlineStr">
        <is>
          <t>c6844c29-fa77-4e73-a4fb-47f9bea56291</t>
        </is>
      </c>
      <c r="B320" s="4" t="inlineStr">
        <is>
          <t>Frank Collier</t>
        </is>
      </c>
      <c r="C320" s="6" t="inlineStr">
        <is>
          <t>frankcollier2018@gmail.com</t>
        </is>
      </c>
      <c r="D320" s="21" t="n">
        <v>0.2743</v>
      </c>
      <c r="E320" s="22" t="n">
        <v>12.2157</v>
      </c>
      <c r="F320" s="23" t="n">
        <v>2</v>
      </c>
      <c r="G320" s="24">
        <f>D320*H320</f>
        <v>41.144999999999996</v>
      </c>
      <c r="H320" s="25" t="n">
        <v>150</v>
      </c>
    </row>
    <row r="321">
      <c r="A321" s="20" t="inlineStr">
        <is>
          <t>1330ce84-4c6c-407c-ac38-c19df4f34dc0</t>
        </is>
      </c>
      <c r="B321" s="4" t="inlineStr">
        <is>
          <t>Frank Collier</t>
        </is>
      </c>
      <c r="C321" s="6" t="inlineStr">
        <is>
          <t>frankcollier2018@gmail.com</t>
        </is>
      </c>
      <c r="D321" s="21" t="n">
        <v>0.2917</v>
      </c>
      <c r="E321" s="22" t="n">
        <v>12.1242</v>
      </c>
      <c r="F321" s="23" t="n">
        <v>2</v>
      </c>
      <c r="G321" s="24">
        <f>D321*H321</f>
        <v>43.755</v>
      </c>
      <c r="H321" s="25" t="n">
        <v>150</v>
      </c>
    </row>
    <row r="322">
      <c r="A322" s="20" t="inlineStr">
        <is>
          <t>b6276518-d20a-4d7e-b3af-73702d365625</t>
        </is>
      </c>
      <c r="B322" s="4" t="inlineStr">
        <is>
          <t>Frank Collier</t>
        </is>
      </c>
      <c r="C322" s="6" t="inlineStr">
        <is>
          <t>frankcollier2018@gmail.com</t>
        </is>
      </c>
      <c r="D322" s="21" t="n">
        <v>0.2988</v>
      </c>
      <c r="E322" s="22" t="n">
        <v>12.1659</v>
      </c>
      <c r="F322" s="23" t="n">
        <v>2</v>
      </c>
      <c r="G322" s="24">
        <f>D322*H322</f>
        <v>44.82</v>
      </c>
      <c r="H322" s="25" t="n">
        <v>150</v>
      </c>
    </row>
    <row r="323">
      <c r="A323" s="20" t="inlineStr">
        <is>
          <t>09aff1d8-2a6a-4e2b-97da-80c3ebf1ff3d</t>
        </is>
      </c>
      <c r="B323" s="4" t="inlineStr">
        <is>
          <t>Frank Collier</t>
        </is>
      </c>
      <c r="C323" s="6" t="inlineStr">
        <is>
          <t>frankcollier2018@gmail.com</t>
        </is>
      </c>
      <c r="D323" s="21" t="n">
        <v>0.3136</v>
      </c>
      <c r="E323" s="22" t="n">
        <v>12.1904</v>
      </c>
      <c r="F323" s="23" t="n">
        <v>2</v>
      </c>
      <c r="G323" s="24">
        <f>D323*H323</f>
        <v>47.04</v>
      </c>
      <c r="H323" s="25" t="n">
        <v>150</v>
      </c>
    </row>
    <row r="324">
      <c r="A324" s="20" t="inlineStr">
        <is>
          <t>dc154da2-bbf9-4362-8d94-99f2581131c8</t>
        </is>
      </c>
      <c r="B324" s="4" t="inlineStr">
        <is>
          <t>Frank Collier</t>
        </is>
      </c>
      <c r="C324" s="6" t="inlineStr">
        <is>
          <t>frankcollier2018@gmail.com</t>
        </is>
      </c>
      <c r="D324" s="21" t="n">
        <v>0.3405</v>
      </c>
      <c r="E324" s="22" t="n">
        <v>12.2506</v>
      </c>
      <c r="F324" s="23" t="n">
        <v>2</v>
      </c>
      <c r="G324" s="24">
        <f>D324*H324</f>
        <v>51.075</v>
      </c>
      <c r="H324" s="25" t="n">
        <v>150</v>
      </c>
    </row>
    <row r="325">
      <c r="A325" s="20" t="inlineStr">
        <is>
          <t>6615b5b2-95bc-47d6-bdcb-a80812f661a2</t>
        </is>
      </c>
      <c r="B325" s="4" t="inlineStr">
        <is>
          <t>Frank Collier</t>
        </is>
      </c>
      <c r="C325" s="6" t="inlineStr">
        <is>
          <t>frankcollier2018@gmail.com</t>
        </is>
      </c>
      <c r="D325" s="21" t="n">
        <v>0.3532</v>
      </c>
      <c r="E325" s="22" t="n">
        <v>18.9379</v>
      </c>
      <c r="F325" s="23" t="n">
        <v>2</v>
      </c>
      <c r="G325" s="24">
        <f>D325*H325</f>
        <v>52.980000000000004</v>
      </c>
      <c r="H325" s="25" t="n">
        <v>150</v>
      </c>
    </row>
    <row r="326">
      <c r="A326" s="20" t="inlineStr">
        <is>
          <t>80528ff3-01e5-4b1d-9f35-7f12719702c4</t>
        </is>
      </c>
      <c r="B326" s="4" t="inlineStr">
        <is>
          <t>Frank Collier</t>
        </is>
      </c>
      <c r="C326" s="6" t="inlineStr">
        <is>
          <t>frankcollier2018@gmail.com</t>
        </is>
      </c>
      <c r="D326" s="21" t="n">
        <v>0.3818</v>
      </c>
      <c r="E326" s="22" t="n">
        <v>12.0866</v>
      </c>
      <c r="F326" s="23" t="n">
        <v>2</v>
      </c>
      <c r="G326" s="24">
        <f>D326*H326</f>
        <v>57.269999999999996</v>
      </c>
      <c r="H326" s="25" t="n">
        <v>150</v>
      </c>
    </row>
    <row r="327">
      <c r="A327" s="20" t="inlineStr">
        <is>
          <t>692bd51a-edc9-458f-a515-d2c27d27208f</t>
        </is>
      </c>
      <c r="B327" s="4" t="inlineStr">
        <is>
          <t>Frank Collier</t>
        </is>
      </c>
      <c r="C327" s="6" t="inlineStr">
        <is>
          <t>frankcollier2018@gmail.com</t>
        </is>
      </c>
      <c r="D327" s="21" t="n">
        <v>0.4016</v>
      </c>
      <c r="E327" s="22" t="n">
        <v>7.2556</v>
      </c>
      <c r="F327" s="23" t="n">
        <v>2</v>
      </c>
      <c r="G327" s="24">
        <f>D327*H327</f>
        <v>60.24</v>
      </c>
      <c r="H327" s="25" t="n">
        <v>150</v>
      </c>
    </row>
    <row r="328">
      <c r="A328" s="20" t="inlineStr">
        <is>
          <t>d4e61d42-677f-4164-a7f9-70fb6eefdd0b</t>
        </is>
      </c>
      <c r="B328" s="4" t="inlineStr">
        <is>
          <t>Frank Collier</t>
        </is>
      </c>
      <c r="C328" s="6" t="inlineStr">
        <is>
          <t>frankcollier2018@gmail.com</t>
        </is>
      </c>
      <c r="D328" s="21" t="n">
        <v>0.4348</v>
      </c>
      <c r="E328" s="22" t="n">
        <v>8.6911</v>
      </c>
      <c r="F328" s="23" t="n">
        <v>2</v>
      </c>
      <c r="G328" s="24">
        <f>D328*H328</f>
        <v>65.22</v>
      </c>
      <c r="H328" s="25" t="n">
        <v>150</v>
      </c>
    </row>
    <row r="329">
      <c r="A329" s="20" t="inlineStr">
        <is>
          <t>be7538b2-6290-4fb8-8649-13d25bb81af5</t>
        </is>
      </c>
      <c r="B329" s="4" t="inlineStr">
        <is>
          <t>Frank Collier</t>
        </is>
      </c>
      <c r="C329" s="6" t="inlineStr">
        <is>
          <t>frankcollier2018@gmail.com</t>
        </is>
      </c>
      <c r="D329" s="21" t="n">
        <v>0.4362</v>
      </c>
      <c r="E329" s="22" t="n">
        <v>12.2078</v>
      </c>
      <c r="F329" s="23" t="n">
        <v>2</v>
      </c>
      <c r="G329" s="24">
        <f>D329*H329</f>
        <v>65.42999999999999</v>
      </c>
      <c r="H329" s="25" t="n">
        <v>150</v>
      </c>
    </row>
    <row r="330">
      <c r="A330" s="20" t="inlineStr">
        <is>
          <t>aa7a5586-e542-4375-883d-34fccf50b3fc</t>
        </is>
      </c>
      <c r="B330" s="4" t="inlineStr">
        <is>
          <t>Frank Collier</t>
        </is>
      </c>
      <c r="C330" s="6" t="inlineStr">
        <is>
          <t>frankcollier2018@gmail.com</t>
        </is>
      </c>
      <c r="D330" s="21" t="n">
        <v>0.4397</v>
      </c>
      <c r="E330" s="22" t="n">
        <v>3.3163</v>
      </c>
      <c r="F330" s="23" t="n">
        <v>2</v>
      </c>
      <c r="G330" s="24">
        <f>D330*H330</f>
        <v>65.955</v>
      </c>
      <c r="H330" s="25" t="n">
        <v>150</v>
      </c>
    </row>
    <row r="331">
      <c r="A331" s="20" t="inlineStr">
        <is>
          <t>00f965ab-b24c-4ec5-9046-ea32d38c7e70</t>
        </is>
      </c>
      <c r="B331" s="4" t="inlineStr">
        <is>
          <t>Frank Collier</t>
        </is>
      </c>
      <c r="C331" s="6" t="inlineStr">
        <is>
          <t>frankcollier2018@gmail.com</t>
        </is>
      </c>
      <c r="D331" s="21" t="n">
        <v>0.468</v>
      </c>
      <c r="E331" s="22" t="n">
        <v>8.686500000000001</v>
      </c>
      <c r="F331" s="23" t="n">
        <v>2</v>
      </c>
      <c r="G331" s="24">
        <f>D331*H331</f>
        <v>70.2</v>
      </c>
      <c r="H331" s="25" t="n">
        <v>150</v>
      </c>
    </row>
    <row r="332">
      <c r="A332" s="20" t="inlineStr">
        <is>
          <t>b1cf8dd1-0fb0-46df-accb-3e42d290ac90</t>
        </is>
      </c>
      <c r="B332" s="4" t="inlineStr">
        <is>
          <t>Frank Collier</t>
        </is>
      </c>
      <c r="C332" s="6" t="inlineStr">
        <is>
          <t>frankcollier2018@gmail.com</t>
        </is>
      </c>
      <c r="D332" s="21" t="n">
        <v>0.4684</v>
      </c>
      <c r="E332" s="22" t="n">
        <v>7.4648</v>
      </c>
      <c r="F332" s="23" t="n">
        <v>2</v>
      </c>
      <c r="G332" s="24">
        <f>D332*H332</f>
        <v>70.25999999999999</v>
      </c>
      <c r="H332" s="25" t="n">
        <v>150</v>
      </c>
    </row>
    <row r="333">
      <c r="A333" s="20" t="inlineStr">
        <is>
          <t>4f2d7029-1fca-4de3-b16c-592da1239957</t>
        </is>
      </c>
      <c r="B333" s="4" t="inlineStr">
        <is>
          <t>Frank Collier</t>
        </is>
      </c>
      <c r="C333" s="6" t="inlineStr">
        <is>
          <t>frankcollier2018@gmail.com</t>
        </is>
      </c>
      <c r="D333" s="21" t="n">
        <v>0.4857</v>
      </c>
      <c r="E333" s="22" t="n">
        <v>7.5159</v>
      </c>
      <c r="F333" s="23" t="n">
        <v>2</v>
      </c>
      <c r="G333" s="24">
        <f>D333*H333</f>
        <v>72.855</v>
      </c>
      <c r="H333" s="25" t="n">
        <v>150</v>
      </c>
    </row>
    <row r="334">
      <c r="A334" s="20" t="inlineStr">
        <is>
          <t>940bae84-5519-493d-8934-5552c8a0467b</t>
        </is>
      </c>
      <c r="B334" s="4" t="inlineStr">
        <is>
          <t>Frank Collier</t>
        </is>
      </c>
      <c r="C334" s="6" t="inlineStr">
        <is>
          <t>frankcollier2018@gmail.com</t>
        </is>
      </c>
      <c r="D334" s="21" t="n">
        <v>0.5108</v>
      </c>
      <c r="E334" s="22" t="n">
        <v>32.0376</v>
      </c>
      <c r="F334" s="23" t="n">
        <v>4</v>
      </c>
      <c r="G334" s="24">
        <f>D334*H334</f>
        <v>76.62</v>
      </c>
      <c r="H334" s="25" t="n">
        <v>150</v>
      </c>
    </row>
    <row r="335">
      <c r="A335" s="20" t="inlineStr">
        <is>
          <t>78681edc-532c-4cdd-9517-256e74e1b9ae</t>
        </is>
      </c>
      <c r="B335" s="4" t="inlineStr">
        <is>
          <t>Frank Collier</t>
        </is>
      </c>
      <c r="C335" s="6" t="inlineStr">
        <is>
          <t>frankcollier2018@gmail.com</t>
        </is>
      </c>
      <c r="D335" s="21" t="n">
        <v>0.5183</v>
      </c>
      <c r="E335" s="22" t="n">
        <v>13.2529</v>
      </c>
      <c r="F335" s="23" t="n">
        <v>3</v>
      </c>
      <c r="G335" s="24">
        <f>D335*H335</f>
        <v>77.745</v>
      </c>
      <c r="H335" s="25" t="n">
        <v>150</v>
      </c>
    </row>
    <row r="336">
      <c r="A336" s="20" t="inlineStr">
        <is>
          <t>eda8f781-5342-4fad-87a6-b9958b01b58d</t>
        </is>
      </c>
      <c r="B336" s="4" t="inlineStr">
        <is>
          <t>Frank Collier</t>
        </is>
      </c>
      <c r="C336" s="6" t="inlineStr">
        <is>
          <t>frankcollier2018@gmail.com</t>
        </is>
      </c>
      <c r="D336" s="21" t="n">
        <v>0.541</v>
      </c>
      <c r="E336" s="22" t="n">
        <v>24.8331</v>
      </c>
      <c r="F336" s="23" t="n">
        <v>3</v>
      </c>
      <c r="G336" s="24">
        <f>D336*H336</f>
        <v>81.15</v>
      </c>
      <c r="H336" s="25" t="n">
        <v>150</v>
      </c>
    </row>
    <row r="337">
      <c r="A337" s="20" t="inlineStr">
        <is>
          <t>37705c6a-ea5a-43c3-9c4c-f1891d47762d</t>
        </is>
      </c>
      <c r="B337" s="4" t="inlineStr">
        <is>
          <t>Frank Collier</t>
        </is>
      </c>
      <c r="C337" s="6" t="inlineStr">
        <is>
          <t>frankcollier2018@gmail.com</t>
        </is>
      </c>
      <c r="D337" s="21" t="n">
        <v>0.605</v>
      </c>
      <c r="E337" s="22" t="n">
        <v>13.2968</v>
      </c>
      <c r="F337" s="23" t="n">
        <v>2</v>
      </c>
      <c r="G337" s="24">
        <f>D337*H337</f>
        <v>90.75</v>
      </c>
      <c r="H337" s="25" t="n">
        <v>150</v>
      </c>
    </row>
    <row r="338">
      <c r="A338" s="20" t="inlineStr">
        <is>
          <t>49c1c371-c756-4185-b2e8-3f6f7499acc3</t>
        </is>
      </c>
      <c r="B338" s="4" t="inlineStr">
        <is>
          <t>Frank Collier</t>
        </is>
      </c>
      <c r="C338" s="6" t="inlineStr">
        <is>
          <t>frankcollier2018@gmail.com</t>
        </is>
      </c>
      <c r="D338" s="21" t="n">
        <v>0.6306</v>
      </c>
      <c r="E338" s="22" t="n">
        <v>32.9813</v>
      </c>
      <c r="F338" s="23" t="n">
        <v>4</v>
      </c>
      <c r="G338" s="24">
        <f>D338*H338</f>
        <v>94.59</v>
      </c>
      <c r="H338" s="25" t="n">
        <v>150</v>
      </c>
    </row>
    <row r="339">
      <c r="A339" s="20" t="inlineStr">
        <is>
          <t>0ed9eda7-9de6-471a-840d-d4d706264a9b</t>
        </is>
      </c>
      <c r="B339" s="4" t="inlineStr">
        <is>
          <t>Frank Collier</t>
        </is>
      </c>
      <c r="C339" s="6" t="inlineStr">
        <is>
          <t>frankcollier2018@gmail.com</t>
        </is>
      </c>
      <c r="D339" s="21" t="n">
        <v>0.7186</v>
      </c>
      <c r="E339" s="22" t="n">
        <v>13.6198</v>
      </c>
      <c r="F339" s="23" t="n">
        <v>3</v>
      </c>
      <c r="G339" s="24">
        <f>D339*H339</f>
        <v>107.79</v>
      </c>
      <c r="H339" s="25" t="n">
        <v>150</v>
      </c>
    </row>
    <row r="340">
      <c r="A340" s="20" t="inlineStr">
        <is>
          <t>0f93fbe6-15f0-4455-bd6c-3488d007d7f8</t>
        </is>
      </c>
      <c r="B340" s="4" t="inlineStr">
        <is>
          <t>Frank Collier</t>
        </is>
      </c>
      <c r="C340" s="6" t="inlineStr">
        <is>
          <t>frankcollier2018@gmail.com</t>
        </is>
      </c>
      <c r="D340" s="21" t="n">
        <v>0.7699</v>
      </c>
      <c r="E340" s="22" t="n">
        <v>8.7933</v>
      </c>
      <c r="F340" s="23" t="n">
        <v>2</v>
      </c>
      <c r="G340" s="24">
        <f>D340*H340</f>
        <v>115.485</v>
      </c>
      <c r="H340" s="25" t="n">
        <v>150</v>
      </c>
    </row>
    <row r="341">
      <c r="A341" s="20" t="inlineStr">
        <is>
          <t>36208de2-a4c1-4ce8-b336-cd76efba70fe</t>
        </is>
      </c>
      <c r="B341" s="4" t="inlineStr">
        <is>
          <t>Frank Collier</t>
        </is>
      </c>
      <c r="C341" s="6" t="inlineStr">
        <is>
          <t>frankcollier2018@gmail.com</t>
        </is>
      </c>
      <c r="D341" s="21" t="n">
        <v>0.7948</v>
      </c>
      <c r="E341" s="22" t="n">
        <v>46.0696</v>
      </c>
      <c r="F341" s="23" t="n">
        <v>5</v>
      </c>
      <c r="G341" s="24">
        <f>D341*H341</f>
        <v>119.22</v>
      </c>
      <c r="H341" s="25" t="n">
        <v>150</v>
      </c>
    </row>
    <row r="342">
      <c r="A342" s="20" t="inlineStr">
        <is>
          <t>9852bbfa-7487-47fe-a648-df9db24262bd</t>
        </is>
      </c>
      <c r="B342" s="4" t="inlineStr">
        <is>
          <t>Frank Collier</t>
        </is>
      </c>
      <c r="C342" s="6" t="inlineStr">
        <is>
          <t>frankcollier2018@gmail.com</t>
        </is>
      </c>
      <c r="D342" s="21" t="n">
        <v>0.8411</v>
      </c>
      <c r="E342" s="22" t="n">
        <v>33.9704</v>
      </c>
      <c r="F342" s="23" t="n">
        <v>4</v>
      </c>
      <c r="G342" s="24">
        <f>D342*H342</f>
        <v>126.16499999999999</v>
      </c>
      <c r="H342" s="25" t="n">
        <v>150</v>
      </c>
    </row>
    <row r="343">
      <c r="A343" s="20" t="inlineStr">
        <is>
          <t>aa110a87-d847-4e63-b358-f02dac24cfcb</t>
        </is>
      </c>
      <c r="B343" s="4" t="inlineStr">
        <is>
          <t>Frank Collier</t>
        </is>
      </c>
      <c r="C343" s="6" t="inlineStr">
        <is>
          <t>frankcollier2018@gmail.com</t>
        </is>
      </c>
      <c r="D343" s="21" t="n">
        <v>0.8551</v>
      </c>
      <c r="E343" s="22" t="n">
        <v>29.0364</v>
      </c>
      <c r="F343" s="23" t="n">
        <v>5</v>
      </c>
      <c r="G343" s="24">
        <f>D343*H343</f>
        <v>128.265</v>
      </c>
      <c r="H343" s="25" t="n">
        <v>150</v>
      </c>
    </row>
    <row r="344">
      <c r="A344" s="20" t="inlineStr">
        <is>
          <t>9b578c02-43d0-40b7-b8cc-af85c2a42ac4</t>
        </is>
      </c>
      <c r="B344" s="4" t="inlineStr">
        <is>
          <t>Frank Collier</t>
        </is>
      </c>
      <c r="C344" s="6" t="inlineStr">
        <is>
          <t>frankcollier2018@gmail.com</t>
        </is>
      </c>
      <c r="D344" s="21" t="n">
        <v>0.8984</v>
      </c>
      <c r="E344" s="22" t="n">
        <v>20.4849</v>
      </c>
      <c r="F344" s="23" t="n">
        <v>3</v>
      </c>
      <c r="G344" s="24">
        <f>D344*H344</f>
        <v>134.76</v>
      </c>
      <c r="H344" s="25" t="n">
        <v>150</v>
      </c>
    </row>
    <row r="345">
      <c r="A345" s="20" t="inlineStr">
        <is>
          <t>6b526cff-e6b0-4950-8028-c87edc6afcf0</t>
        </is>
      </c>
      <c r="B345" s="4" t="inlineStr">
        <is>
          <t>Frank Collier</t>
        </is>
      </c>
      <c r="C345" s="6" t="inlineStr">
        <is>
          <t>frankcollier2018@gmail.com</t>
        </is>
      </c>
      <c r="D345" s="21" t="n">
        <v>1.0183</v>
      </c>
      <c r="E345" s="22" t="n">
        <v>12.2338</v>
      </c>
      <c r="F345" s="23" t="n">
        <v>2</v>
      </c>
      <c r="G345" s="24">
        <f>D345*H345</f>
        <v>152.745</v>
      </c>
      <c r="H345" s="25" t="n">
        <v>150</v>
      </c>
    </row>
    <row r="346">
      <c r="A346" s="20" t="inlineStr">
        <is>
          <t>1ee725d3-c685-4f48-ad34-0d01cc7873c6</t>
        </is>
      </c>
      <c r="B346" s="4" t="inlineStr">
        <is>
          <t>Frank Collier</t>
        </is>
      </c>
      <c r="C346" s="6" t="inlineStr">
        <is>
          <t>frankcollier2018@gmail.com</t>
        </is>
      </c>
      <c r="D346" s="21" t="n">
        <v>1.0445</v>
      </c>
      <c r="E346" s="22" t="n">
        <v>17.4844</v>
      </c>
      <c r="F346" s="23" t="n">
        <v>5</v>
      </c>
      <c r="G346" s="24">
        <f>D346*H346</f>
        <v>156.675</v>
      </c>
      <c r="H346" s="25" t="n">
        <v>150</v>
      </c>
    </row>
    <row r="347">
      <c r="A347" s="20" t="inlineStr">
        <is>
          <t>754d94d5-bb2c-4f85-bef8-1c056f2071ac</t>
        </is>
      </c>
      <c r="B347" s="4" t="inlineStr">
        <is>
          <t>Frank Collier</t>
        </is>
      </c>
      <c r="C347" s="6" t="inlineStr">
        <is>
          <t>frankcollier2018@gmail.com</t>
        </is>
      </c>
      <c r="D347" s="21" t="n">
        <v>1.0849</v>
      </c>
      <c r="E347" s="22" t="n">
        <v>14.1797</v>
      </c>
      <c r="F347" s="23" t="n">
        <v>3</v>
      </c>
      <c r="G347" s="24">
        <f>D347*H347</f>
        <v>162.73499999999999</v>
      </c>
      <c r="H347" s="25" t="n">
        <v>150</v>
      </c>
    </row>
    <row r="348">
      <c r="A348" s="20" t="inlineStr">
        <is>
          <t>43cf54cd-a1f5-4324-b239-f6def54b0e66</t>
        </is>
      </c>
      <c r="B348" s="4" t="inlineStr">
        <is>
          <t>Frank Collier</t>
        </is>
      </c>
      <c r="C348" s="6" t="inlineStr">
        <is>
          <t>frankcollier2018@gmail.com</t>
        </is>
      </c>
      <c r="D348" s="21" t="n">
        <v>1.1192</v>
      </c>
      <c r="E348" s="22" t="n">
        <v>26.3488</v>
      </c>
      <c r="F348" s="23" t="n">
        <v>5</v>
      </c>
      <c r="G348" s="24">
        <f>D348*H348</f>
        <v>167.88</v>
      </c>
      <c r="H348" s="25" t="n">
        <v>150</v>
      </c>
    </row>
    <row r="349">
      <c r="A349" s="20" t="inlineStr">
        <is>
          <t>b07b5876-c8ef-43af-aca9-8dbb652e5ec3</t>
        </is>
      </c>
      <c r="B349" s="4" t="inlineStr">
        <is>
          <t>Frank Collier</t>
        </is>
      </c>
      <c r="C349" s="6" t="inlineStr">
        <is>
          <t>frankcollier2018@gmail.com</t>
        </is>
      </c>
      <c r="D349" s="21" t="n">
        <v>1.2073</v>
      </c>
      <c r="E349" s="22" t="n">
        <v>32.0552</v>
      </c>
      <c r="F349" s="23" t="n">
        <v>4</v>
      </c>
      <c r="G349" s="24">
        <f>D349*H349</f>
        <v>181.095</v>
      </c>
      <c r="H349" s="25" t="n">
        <v>150</v>
      </c>
    </row>
    <row r="350">
      <c r="A350" s="20" t="inlineStr">
        <is>
          <t>799becad-f3fa-4065-9e98-f3f19eab233c</t>
        </is>
      </c>
      <c r="B350" s="4" t="inlineStr">
        <is>
          <t>Frank Collier</t>
        </is>
      </c>
      <c r="C350" s="6" t="inlineStr">
        <is>
          <t>frankcollier2018@gmail.com</t>
        </is>
      </c>
      <c r="D350" s="21" t="n">
        <v>1.2284</v>
      </c>
      <c r="E350" s="22" t="n">
        <v>24.3647</v>
      </c>
      <c r="F350" s="23" t="n">
        <v>3</v>
      </c>
      <c r="G350" s="24">
        <f>D350*H350</f>
        <v>184.26</v>
      </c>
      <c r="H350" s="25" t="n">
        <v>150</v>
      </c>
    </row>
    <row r="351">
      <c r="A351" s="20" t="inlineStr">
        <is>
          <t>e7dde000-1439-4072-bc64-ed1a28e6bf5d</t>
        </is>
      </c>
      <c r="B351" s="4" t="inlineStr">
        <is>
          <t>Frank Collier</t>
        </is>
      </c>
      <c r="C351" s="6" t="inlineStr">
        <is>
          <t>frankcollier2018@gmail.com</t>
        </is>
      </c>
      <c r="D351" s="21" t="n">
        <v>1.2438</v>
      </c>
      <c r="E351" s="22" t="n">
        <v>26.5746</v>
      </c>
      <c r="F351" s="23" t="n">
        <v>4</v>
      </c>
      <c r="G351" s="24">
        <f>D351*H351</f>
        <v>186.57</v>
      </c>
      <c r="H351" s="25" t="n">
        <v>150</v>
      </c>
    </row>
    <row r="352">
      <c r="A352" s="20" t="inlineStr">
        <is>
          <t>aa7a7fdb-1653-41d8-bcaa-a8f5fc266cf3</t>
        </is>
      </c>
      <c r="B352" s="4" t="inlineStr">
        <is>
          <t>Frank Collier</t>
        </is>
      </c>
      <c r="C352" s="6" t="inlineStr">
        <is>
          <t>frankcollier2018@gmail.com</t>
        </is>
      </c>
      <c r="D352" s="21" t="n">
        <v>1.2866</v>
      </c>
      <c r="E352" s="22" t="n">
        <v>18.5133</v>
      </c>
      <c r="F352" s="23" t="n">
        <v>4</v>
      </c>
      <c r="G352" s="24">
        <f>D352*H352</f>
        <v>192.99</v>
      </c>
      <c r="H352" s="25" t="n">
        <v>150</v>
      </c>
    </row>
    <row r="353">
      <c r="A353" s="20" t="inlineStr">
        <is>
          <t>24e1c468-8b0b-4a50-abf4-bc9dd3070a76</t>
        </is>
      </c>
      <c r="B353" s="4" t="inlineStr">
        <is>
          <t>Frank Collier</t>
        </is>
      </c>
      <c r="C353" s="6" t="inlineStr">
        <is>
          <t>frankcollier2018@gmail.com</t>
        </is>
      </c>
      <c r="D353" s="21" t="n">
        <v>1.2869</v>
      </c>
      <c r="E353" s="22" t="n">
        <v>12.2217</v>
      </c>
      <c r="F353" s="23" t="n">
        <v>2</v>
      </c>
      <c r="G353" s="24">
        <f>D353*H353</f>
        <v>193.035</v>
      </c>
      <c r="H353" s="25" t="n">
        <v>150</v>
      </c>
    </row>
    <row r="354">
      <c r="A354" s="20" t="inlineStr">
        <is>
          <t>3ee2cea3-dcfc-43cf-9c40-0343efe30da9</t>
        </is>
      </c>
      <c r="B354" s="4" t="inlineStr">
        <is>
          <t>Frank Collier</t>
        </is>
      </c>
      <c r="C354" s="6" t="inlineStr">
        <is>
          <t>frankcollier2018@gmail.com</t>
        </is>
      </c>
      <c r="D354" s="21" t="n">
        <v>1.3706</v>
      </c>
      <c r="E354" s="22" t="n">
        <v>52.5199</v>
      </c>
      <c r="F354" s="23" t="n">
        <v>6</v>
      </c>
      <c r="G354" s="24">
        <f>D354*H354</f>
        <v>205.59</v>
      </c>
      <c r="H354" s="25" t="n">
        <v>150</v>
      </c>
    </row>
    <row r="355">
      <c r="A355" s="20" t="inlineStr">
        <is>
          <t>06430607-be58-4f08-8fe4-3562120ad304</t>
        </is>
      </c>
      <c r="B355" s="4" t="inlineStr">
        <is>
          <t>Frank Collier</t>
        </is>
      </c>
      <c r="C355" s="6" t="inlineStr">
        <is>
          <t>frankcollier2018@gmail.com</t>
        </is>
      </c>
      <c r="D355" s="21" t="n">
        <v>1.7251</v>
      </c>
      <c r="E355" s="22" t="n">
        <v>56.9861</v>
      </c>
      <c r="F355" s="23" t="n">
        <v>8</v>
      </c>
      <c r="G355" s="24">
        <f>D355*H355</f>
        <v>258.765</v>
      </c>
      <c r="H355" s="25" t="n">
        <v>150</v>
      </c>
    </row>
    <row r="356">
      <c r="A356" s="20" t="inlineStr">
        <is>
          <t>02e0c5c7-4f1e-42a5-94bd-8e31d4f5a60e</t>
        </is>
      </c>
      <c r="B356" s="4" t="inlineStr">
        <is>
          <t>Frank Collier</t>
        </is>
      </c>
      <c r="C356" s="6" t="inlineStr">
        <is>
          <t>frankcollier2018@gmail.com</t>
        </is>
      </c>
      <c r="D356" s="21" t="n">
        <v>1.8716</v>
      </c>
      <c r="E356" s="22" t="n">
        <v>35.7349</v>
      </c>
      <c r="F356" s="23" t="n">
        <v>7</v>
      </c>
      <c r="G356" s="24">
        <f>D356*H356</f>
        <v>280.74</v>
      </c>
      <c r="H356" s="25" t="n">
        <v>150</v>
      </c>
    </row>
    <row r="357">
      <c r="A357" s="20" t="inlineStr">
        <is>
          <t>11558062-6189-446a-a049-41420f9bb217</t>
        </is>
      </c>
      <c r="B357" s="4" t="inlineStr">
        <is>
          <t>Frank Collier</t>
        </is>
      </c>
      <c r="C357" s="6" t="inlineStr">
        <is>
          <t>frankcollier2018@gmail.com</t>
        </is>
      </c>
      <c r="D357" s="21" t="n">
        <v>2.3896</v>
      </c>
      <c r="E357" s="22" t="n">
        <v>72.1356</v>
      </c>
      <c r="F357" s="23" t="n">
        <v>10</v>
      </c>
      <c r="G357" s="24">
        <f>D357*H357</f>
        <v>358.44</v>
      </c>
      <c r="H357" s="25" t="n">
        <v>150</v>
      </c>
    </row>
    <row r="358">
      <c r="A358" s="20" t="inlineStr">
        <is>
          <t>9093afe4-205e-49c2-9e11-2be0dd235f73</t>
        </is>
      </c>
      <c r="B358" s="4" t="inlineStr">
        <is>
          <t>Frank Collier</t>
        </is>
      </c>
      <c r="C358" s="6" t="inlineStr">
        <is>
          <t>frankcollier2018@gmail.com</t>
        </is>
      </c>
      <c r="D358" s="21" t="n">
        <v>2.6347</v>
      </c>
      <c r="E358" s="22" t="n">
        <v>80.8977</v>
      </c>
      <c r="F358" s="23" t="n">
        <v>9</v>
      </c>
      <c r="G358" s="24">
        <f>D358*H358</f>
        <v>395.205</v>
      </c>
      <c r="H358" s="25" t="n">
        <v>150</v>
      </c>
    </row>
    <row r="359">
      <c r="A359" s="20" t="inlineStr">
        <is>
          <t>19d82941-d73f-4bba-a9c6-3053eaf8c7e2</t>
        </is>
      </c>
      <c r="B359" s="4" t="inlineStr">
        <is>
          <t>Frank Collier</t>
        </is>
      </c>
      <c r="C359" s="6" t="inlineStr">
        <is>
          <t>frankcollier2018@gmail.com</t>
        </is>
      </c>
      <c r="D359" s="21" t="n">
        <v>3.6061</v>
      </c>
      <c r="E359" s="22" t="n">
        <v>4.444</v>
      </c>
      <c r="F359" s="23" t="n">
        <v>2</v>
      </c>
      <c r="G359" s="24">
        <f>D359*H359</f>
        <v>540.915</v>
      </c>
      <c r="H359" s="25" t="n">
        <v>150</v>
      </c>
    </row>
    <row r="360">
      <c r="A360" s="20" t="inlineStr">
        <is>
          <t>f06e6226-cddc-42e5-b153-ceb09c8288cf</t>
        </is>
      </c>
      <c r="B360" s="4" t="inlineStr">
        <is>
          <t>Frank Collier</t>
        </is>
      </c>
      <c r="C360" s="6" t="inlineStr">
        <is>
          <t>frankcollier2018@gmail.com</t>
        </is>
      </c>
      <c r="D360" s="21" t="n">
        <v>3.8211</v>
      </c>
      <c r="E360" s="22" t="n">
        <v>5.5148</v>
      </c>
      <c r="F360" s="23" t="n">
        <v>3</v>
      </c>
      <c r="G360" s="24">
        <f>D360*H360</f>
        <v>573.165</v>
      </c>
      <c r="H360" s="25" t="n">
        <v>150</v>
      </c>
    </row>
    <row r="361">
      <c r="A361" s="20" t="inlineStr">
        <is>
          <t>3ede2b92-fbfa-415e-8ead-47775a4bafeb</t>
        </is>
      </c>
      <c r="B361" s="4" t="inlineStr">
        <is>
          <t>Spencer Dumas</t>
        </is>
      </c>
      <c r="C361" s="6" t="inlineStr">
        <is>
          <t>skdumas03@gmail.com</t>
        </is>
      </c>
      <c r="D361" s="21" t="n">
        <v>0.0172</v>
      </c>
      <c r="E361" s="22" t="n">
        <v>0.148</v>
      </c>
      <c r="F361" s="23" t="n">
        <v>1</v>
      </c>
      <c r="G361" s="24">
        <f>D361*H361</f>
        <v>2.58</v>
      </c>
      <c r="H361" s="25" t="n">
        <v>150</v>
      </c>
    </row>
    <row r="362">
      <c r="A362" s="20" t="inlineStr">
        <is>
          <t>e9a76f08-3751-41ab-ad1d-b8b9d38c7607</t>
        </is>
      </c>
      <c r="B362" s="4" t="inlineStr">
        <is>
          <t>Spencer Dumas</t>
        </is>
      </c>
      <c r="C362" s="6" t="inlineStr">
        <is>
          <t>skdumas03@gmail.com</t>
        </is>
      </c>
      <c r="D362" s="21" t="n">
        <v>0.074</v>
      </c>
      <c r="E362" s="22" t="n">
        <v>0.6361</v>
      </c>
      <c r="F362" s="23" t="n">
        <v>4</v>
      </c>
      <c r="G362" s="24">
        <f>D362*H362</f>
        <v>11.1</v>
      </c>
      <c r="H362" s="25" t="n">
        <v>150</v>
      </c>
    </row>
    <row r="363">
      <c r="A363" s="20" t="inlineStr">
        <is>
          <t>48104598-7a45-4c9b-81d6-df8add49ac3f</t>
        </is>
      </c>
      <c r="B363" s="4" t="inlineStr">
        <is>
          <t>Spencer Dumas</t>
        </is>
      </c>
      <c r="C363" s="6" t="inlineStr">
        <is>
          <t>skdumas03@gmail.com</t>
        </is>
      </c>
      <c r="D363" s="21" t="n">
        <v>0.0992</v>
      </c>
      <c r="E363" s="22" t="n">
        <v>8.047700000000001</v>
      </c>
      <c r="F363" s="23" t="n">
        <v>4</v>
      </c>
      <c r="G363" s="24">
        <f>D363*H363</f>
        <v>14.879999999999999</v>
      </c>
      <c r="H363" s="25" t="n">
        <v>150</v>
      </c>
    </row>
    <row r="364">
      <c r="A364" s="20" t="inlineStr">
        <is>
          <t>6ea8fb52-45be-4cc2-90b5-01ddc67d5067</t>
        </is>
      </c>
      <c r="B364" s="4" t="inlineStr">
        <is>
          <t>Spencer Dumas</t>
        </is>
      </c>
      <c r="C364" s="6" t="inlineStr">
        <is>
          <t>skdumas03@gmail.com</t>
        </is>
      </c>
      <c r="D364" s="21" t="n">
        <v>0.1617</v>
      </c>
      <c r="E364" s="22" t="n">
        <v>12.1113</v>
      </c>
      <c r="F364" s="23" t="n">
        <v>2</v>
      </c>
      <c r="G364" s="24">
        <f>D364*H364</f>
        <v>24.255000000000003</v>
      </c>
      <c r="H364" s="25" t="n">
        <v>150</v>
      </c>
    </row>
    <row r="365">
      <c r="A365" s="20" t="inlineStr">
        <is>
          <t>12a730e4-0d57-4cfc-8d66-26bb0df9dbb9</t>
        </is>
      </c>
      <c r="B365" s="4" t="inlineStr">
        <is>
          <t>Spencer Dumas</t>
        </is>
      </c>
      <c r="C365" s="6" t="inlineStr">
        <is>
          <t>skdumas03@gmail.com</t>
        </is>
      </c>
      <c r="D365" s="21" t="n">
        <v>0.1883</v>
      </c>
      <c r="E365" s="22" t="n">
        <v>12.1033</v>
      </c>
      <c r="F365" s="23" t="n">
        <v>2</v>
      </c>
      <c r="G365" s="24">
        <f>D365*H365</f>
        <v>28.245</v>
      </c>
      <c r="H365" s="25" t="n">
        <v>150</v>
      </c>
    </row>
    <row r="366">
      <c r="A366" s="20" t="inlineStr">
        <is>
          <t>96cb6f1f-251f-418e-ae6b-f35a7759931c</t>
        </is>
      </c>
      <c r="B366" s="4" t="inlineStr">
        <is>
          <t>Spencer Dumas</t>
        </is>
      </c>
      <c r="C366" s="6" t="inlineStr">
        <is>
          <t>skdumas03@gmail.com</t>
        </is>
      </c>
      <c r="D366" s="21" t="n">
        <v>0.2162</v>
      </c>
      <c r="E366" s="22" t="n">
        <v>12.4346</v>
      </c>
      <c r="F366" s="23" t="n">
        <v>3</v>
      </c>
      <c r="G366" s="24">
        <f>D366*H366</f>
        <v>32.43</v>
      </c>
      <c r="H366" s="25" t="n">
        <v>150</v>
      </c>
    </row>
    <row r="367">
      <c r="A367" s="20" t="inlineStr">
        <is>
          <t>85200444-fa48-4881-86f6-346e060d5a4e</t>
        </is>
      </c>
      <c r="B367" s="4" t="inlineStr">
        <is>
          <t>Spencer Dumas</t>
        </is>
      </c>
      <c r="C367" s="6" t="inlineStr">
        <is>
          <t>skdumas03@gmail.com</t>
        </is>
      </c>
      <c r="D367" s="21" t="n">
        <v>0.3017</v>
      </c>
      <c r="E367" s="22" t="n">
        <v>12.1348</v>
      </c>
      <c r="F367" s="23" t="n">
        <v>2</v>
      </c>
      <c r="G367" s="24">
        <f>D367*H367</f>
        <v>45.255</v>
      </c>
      <c r="H367" s="25" t="n">
        <v>150</v>
      </c>
    </row>
    <row r="368">
      <c r="A368" s="20" t="inlineStr">
        <is>
          <t>e1611925-e738-4e8c-89d7-13701b5aaaee</t>
        </is>
      </c>
      <c r="B368" s="4" t="inlineStr">
        <is>
          <t>Spencer Dumas</t>
        </is>
      </c>
      <c r="C368" s="6" t="inlineStr">
        <is>
          <t>skdumas03@gmail.com</t>
        </is>
      </c>
      <c r="D368" s="21" t="n">
        <v>0.338</v>
      </c>
      <c r="E368" s="22" t="n">
        <v>12.2443</v>
      </c>
      <c r="F368" s="23" t="n">
        <v>2</v>
      </c>
      <c r="G368" s="24">
        <f>D368*H368</f>
        <v>50.7</v>
      </c>
      <c r="H368" s="25" t="n">
        <v>150</v>
      </c>
    </row>
    <row r="369">
      <c r="A369" s="20" t="inlineStr">
        <is>
          <t>d54cc135-519c-483b-98af-e56818322162</t>
        </is>
      </c>
      <c r="B369" s="4" t="inlineStr">
        <is>
          <t>Spencer Dumas</t>
        </is>
      </c>
      <c r="C369" s="6" t="inlineStr">
        <is>
          <t>skdumas03@gmail.com</t>
        </is>
      </c>
      <c r="D369" s="21" t="n">
        <v>0.3615</v>
      </c>
      <c r="E369" s="22" t="n">
        <v>36</v>
      </c>
      <c r="F369" s="23" t="n">
        <v>3</v>
      </c>
      <c r="G369" s="24">
        <f>D369*H369</f>
        <v>54.225</v>
      </c>
      <c r="H369" s="25" t="n">
        <v>150</v>
      </c>
    </row>
    <row r="370">
      <c r="A370" s="20" t="inlineStr">
        <is>
          <t>7ddb3fd7-a727-4f80-8170-2369931ca9af</t>
        </is>
      </c>
      <c r="B370" s="4" t="inlineStr">
        <is>
          <t>Spencer Dumas</t>
        </is>
      </c>
      <c r="C370" s="6" t="inlineStr">
        <is>
          <t>skdumas03@gmail.com</t>
        </is>
      </c>
      <c r="D370" s="21" t="n">
        <v>0.4016</v>
      </c>
      <c r="E370" s="22" t="n">
        <v>12.4678</v>
      </c>
      <c r="F370" s="23" t="n">
        <v>2</v>
      </c>
      <c r="G370" s="24">
        <f>D370*H370</f>
        <v>60.24</v>
      </c>
      <c r="H370" s="25" t="n">
        <v>150</v>
      </c>
    </row>
    <row r="371">
      <c r="A371" s="20" t="inlineStr">
        <is>
          <t>0b395d34-d231-4819-b6cd-e7e022ff7a8c</t>
        </is>
      </c>
      <c r="B371" s="4" t="inlineStr">
        <is>
          <t>Spencer Dumas</t>
        </is>
      </c>
      <c r="C371" s="6" t="inlineStr">
        <is>
          <t>skdumas03@gmail.com</t>
        </is>
      </c>
      <c r="D371" s="21" t="n">
        <v>0.4264</v>
      </c>
      <c r="E371" s="22" t="n">
        <v>12.1512</v>
      </c>
      <c r="F371" s="23" t="n">
        <v>2</v>
      </c>
      <c r="G371" s="24">
        <f>D371*H371</f>
        <v>63.96</v>
      </c>
      <c r="H371" s="25" t="n">
        <v>150</v>
      </c>
    </row>
    <row r="372">
      <c r="A372" s="20" t="inlineStr">
        <is>
          <t>39f04bc8-b638-49ac-bd97-2f6ecb69c522</t>
        </is>
      </c>
      <c r="B372" s="4" t="inlineStr">
        <is>
          <t>Spencer Dumas</t>
        </is>
      </c>
      <c r="C372" s="6" t="inlineStr">
        <is>
          <t>skdumas03@gmail.com</t>
        </is>
      </c>
      <c r="D372" s="21" t="n">
        <v>0.466</v>
      </c>
      <c r="E372" s="22" t="n">
        <v>24.1701</v>
      </c>
      <c r="F372" s="23" t="n">
        <v>3</v>
      </c>
      <c r="G372" s="24">
        <f>D372*H372</f>
        <v>69.9</v>
      </c>
      <c r="H372" s="25" t="n">
        <v>150</v>
      </c>
    </row>
    <row r="373">
      <c r="A373" s="20" t="inlineStr">
        <is>
          <t>e982b87b-7797-4abc-bbc9-78cf03dc6c30</t>
        </is>
      </c>
      <c r="B373" s="4" t="inlineStr">
        <is>
          <t>Spencer Dumas</t>
        </is>
      </c>
      <c r="C373" s="6" t="inlineStr">
        <is>
          <t>skdumas03@gmail.com</t>
        </is>
      </c>
      <c r="D373" s="21" t="n">
        <v>0.469</v>
      </c>
      <c r="E373" s="22" t="n">
        <v>8.056699999999999</v>
      </c>
      <c r="F373" s="23" t="n">
        <v>3</v>
      </c>
      <c r="G373" s="24">
        <f>D373*H373</f>
        <v>70.35</v>
      </c>
      <c r="H373" s="25" t="n">
        <v>150</v>
      </c>
    </row>
    <row r="374">
      <c r="A374" s="20" t="inlineStr">
        <is>
          <t>9c2661b3-63bf-49ac-ba8c-0f19cb4a1508</t>
        </is>
      </c>
      <c r="B374" s="4" t="inlineStr">
        <is>
          <t>Spencer Dumas</t>
        </is>
      </c>
      <c r="C374" s="6" t="inlineStr">
        <is>
          <t>skdumas03@gmail.com</t>
        </is>
      </c>
      <c r="D374" s="21" t="n">
        <v>0.4735</v>
      </c>
      <c r="E374" s="22" t="n">
        <v>12.6586</v>
      </c>
      <c r="F374" s="23" t="n">
        <v>3</v>
      </c>
      <c r="G374" s="24">
        <f>D374*H374</f>
        <v>71.02499999999999</v>
      </c>
      <c r="H374" s="25" t="n">
        <v>150</v>
      </c>
    </row>
    <row r="375">
      <c r="A375" s="20" t="inlineStr">
        <is>
          <t>d6f230b0-cf59-4a64-89c5-ba8e7407b7b8</t>
        </is>
      </c>
      <c r="B375" s="4" t="inlineStr">
        <is>
          <t>Spencer Dumas</t>
        </is>
      </c>
      <c r="C375" s="6" t="inlineStr">
        <is>
          <t>skdumas03@gmail.com</t>
        </is>
      </c>
      <c r="D375" s="21" t="n">
        <v>0.4863</v>
      </c>
      <c r="E375" s="22" t="n">
        <v>24.3468</v>
      </c>
      <c r="F375" s="23" t="n">
        <v>4</v>
      </c>
      <c r="G375" s="24">
        <f>D375*H375</f>
        <v>72.94500000000001</v>
      </c>
      <c r="H375" s="25" t="n">
        <v>150</v>
      </c>
    </row>
    <row r="376">
      <c r="A376" s="20" t="inlineStr">
        <is>
          <t>a05a82a5-67be-4b3d-9e92-0ba9b3f2ce70</t>
        </is>
      </c>
      <c r="B376" s="4" t="inlineStr">
        <is>
          <t>Spencer Dumas</t>
        </is>
      </c>
      <c r="C376" s="6" t="inlineStr">
        <is>
          <t>skdumas03@gmail.com</t>
        </is>
      </c>
      <c r="D376" s="21" t="n">
        <v>0.5057</v>
      </c>
      <c r="E376" s="22" t="n">
        <v>12.2177</v>
      </c>
      <c r="F376" s="23" t="n">
        <v>2</v>
      </c>
      <c r="G376" s="24">
        <f>D376*H376</f>
        <v>75.855</v>
      </c>
      <c r="H376" s="25" t="n">
        <v>150</v>
      </c>
    </row>
    <row r="377">
      <c r="A377" s="20" t="inlineStr">
        <is>
          <t>2edba442-c78b-4936-9a62-04da474b68af</t>
        </is>
      </c>
      <c r="B377" s="4" t="inlineStr">
        <is>
          <t>Spencer Dumas</t>
        </is>
      </c>
      <c r="C377" s="6" t="inlineStr">
        <is>
          <t>skdumas03@gmail.com</t>
        </is>
      </c>
      <c r="D377" s="21" t="n">
        <v>0.5453</v>
      </c>
      <c r="E377" s="22" t="n">
        <v>16.5075</v>
      </c>
      <c r="F377" s="23" t="n">
        <v>3</v>
      </c>
      <c r="G377" s="24">
        <f>D377*H377</f>
        <v>81.795</v>
      </c>
      <c r="H377" s="25" t="n">
        <v>150</v>
      </c>
    </row>
    <row r="378">
      <c r="A378" s="20" t="inlineStr">
        <is>
          <t>f85ce104-bedf-4873-b34a-21bc8514a513</t>
        </is>
      </c>
      <c r="B378" s="4" t="inlineStr">
        <is>
          <t>Spencer Dumas</t>
        </is>
      </c>
      <c r="C378" s="6" t="inlineStr">
        <is>
          <t>skdumas03@gmail.com</t>
        </is>
      </c>
      <c r="D378" s="21" t="n">
        <v>0.5536</v>
      </c>
      <c r="E378" s="22" t="n">
        <v>16.3222</v>
      </c>
      <c r="F378" s="23" t="n">
        <v>3</v>
      </c>
      <c r="G378" s="24">
        <f>D378*H378</f>
        <v>83.03999999999999</v>
      </c>
      <c r="H378" s="25" t="n">
        <v>150</v>
      </c>
    </row>
    <row r="379">
      <c r="A379" s="20" t="inlineStr">
        <is>
          <t>83b15ed2-cff9-45da-8282-99cd62095ed9</t>
        </is>
      </c>
      <c r="B379" s="4" t="inlineStr">
        <is>
          <t>Spencer Dumas</t>
        </is>
      </c>
      <c r="C379" s="6" t="inlineStr">
        <is>
          <t>skdumas03@gmail.com</t>
        </is>
      </c>
      <c r="D379" s="21" t="n">
        <v>0.6637</v>
      </c>
      <c r="E379" s="22" t="n">
        <v>40.454</v>
      </c>
      <c r="F379" s="23" t="n">
        <v>5</v>
      </c>
      <c r="G379" s="24">
        <f>D379*H379</f>
        <v>99.55499999999999</v>
      </c>
      <c r="H379" s="25" t="n">
        <v>150</v>
      </c>
    </row>
    <row r="380">
      <c r="A380" s="20" t="inlineStr">
        <is>
          <t>d2fc1780-a066-4e53-bdcf-d4b987b89ff6</t>
        </is>
      </c>
      <c r="B380" s="4" t="inlineStr">
        <is>
          <t>Spencer Dumas</t>
        </is>
      </c>
      <c r="C380" s="6" t="inlineStr">
        <is>
          <t>skdumas03@gmail.com</t>
        </is>
      </c>
      <c r="D380" s="21" t="n">
        <v>0.6820000000000001</v>
      </c>
      <c r="E380" s="22" t="n">
        <v>26.9609</v>
      </c>
      <c r="F380" s="23" t="n">
        <v>4</v>
      </c>
      <c r="G380" s="24">
        <f>D380*H380</f>
        <v>102.30000000000001</v>
      </c>
      <c r="H380" s="25" t="n">
        <v>150</v>
      </c>
    </row>
    <row r="381">
      <c r="A381" s="20" t="inlineStr">
        <is>
          <t>2ec7916c-92e6-4fca-8ea5-6c192f54c89f</t>
        </is>
      </c>
      <c r="B381" s="4" t="inlineStr">
        <is>
          <t>Spencer Dumas</t>
        </is>
      </c>
      <c r="C381" s="6" t="inlineStr">
        <is>
          <t>skdumas03@gmail.com</t>
        </is>
      </c>
      <c r="D381" s="21" t="n">
        <v>0.7268</v>
      </c>
      <c r="E381" s="22" t="n">
        <v>28.5577</v>
      </c>
      <c r="F381" s="23" t="n">
        <v>4</v>
      </c>
      <c r="G381" s="24">
        <f>D381*H381</f>
        <v>109.02</v>
      </c>
      <c r="H381" s="25" t="n">
        <v>150</v>
      </c>
    </row>
    <row r="382">
      <c r="A382" s="20" t="inlineStr">
        <is>
          <t>abfbfe73-e271-4a6e-b905-3cb2f49228cd</t>
        </is>
      </c>
      <c r="B382" s="4" t="inlineStr">
        <is>
          <t>Spencer Dumas</t>
        </is>
      </c>
      <c r="C382" s="6" t="inlineStr">
        <is>
          <t>skdumas03@gmail.com</t>
        </is>
      </c>
      <c r="D382" s="21" t="n">
        <v>0.8482</v>
      </c>
      <c r="E382" s="22" t="n">
        <v>23.0203</v>
      </c>
      <c r="F382" s="23" t="n">
        <v>3</v>
      </c>
      <c r="G382" s="24">
        <f>D382*H382</f>
        <v>127.22999999999999</v>
      </c>
      <c r="H382" s="25" t="n">
        <v>150</v>
      </c>
    </row>
    <row r="383">
      <c r="A383" s="20" t="inlineStr">
        <is>
          <t>a1ed1f75-91ff-450d-9ba4-fea76f407de9</t>
        </is>
      </c>
      <c r="B383" s="4" t="inlineStr">
        <is>
          <t>Spencer Dumas</t>
        </is>
      </c>
      <c r="C383" s="6" t="inlineStr">
        <is>
          <t>skdumas03@gmail.com</t>
        </is>
      </c>
      <c r="D383" s="21" t="n">
        <v>1.2679</v>
      </c>
      <c r="E383" s="22" t="n">
        <v>47.6326</v>
      </c>
      <c r="F383" s="23" t="n">
        <v>5</v>
      </c>
      <c r="G383" s="24">
        <f>D383*H383</f>
        <v>190.185</v>
      </c>
      <c r="H383" s="25" t="n">
        <v>150</v>
      </c>
    </row>
    <row r="384">
      <c r="A384" s="20" t="inlineStr">
        <is>
          <t>f46b78bf-17c3-4d36-8573-73af66ef42bb</t>
        </is>
      </c>
      <c r="B384" s="4" t="inlineStr">
        <is>
          <t>Spencer Dumas</t>
        </is>
      </c>
      <c r="C384" s="6" t="inlineStr">
        <is>
          <t>skdumas03@gmail.com</t>
        </is>
      </c>
      <c r="D384" s="21" t="n">
        <v>1.4551</v>
      </c>
      <c r="E384" s="22" t="n">
        <v>43.6017</v>
      </c>
      <c r="F384" s="23" t="n">
        <v>5</v>
      </c>
      <c r="G384" s="24">
        <f>D384*H384</f>
        <v>218.26500000000001</v>
      </c>
      <c r="H384" s="25" t="n">
        <v>150</v>
      </c>
    </row>
    <row r="385">
      <c r="A385" s="20" t="inlineStr">
        <is>
          <t>4a43b4ed-5003-4da4-a4b0-a5d60f49b60f</t>
        </is>
      </c>
      <c r="B385" s="4" t="inlineStr">
        <is>
          <t>Spencer Dumas</t>
        </is>
      </c>
      <c r="C385" s="6" t="inlineStr">
        <is>
          <t>skdumas03@gmail.com</t>
        </is>
      </c>
      <c r="D385" s="21" t="n">
        <v>1.7002</v>
      </c>
      <c r="E385" s="22" t="n">
        <v>42.0748</v>
      </c>
      <c r="F385" s="23" t="n">
        <v>6</v>
      </c>
      <c r="G385" s="24">
        <f>D385*H385</f>
        <v>255.03</v>
      </c>
      <c r="H385" s="25" t="n">
        <v>150</v>
      </c>
    </row>
    <row r="386">
      <c r="A386" s="20" t="inlineStr">
        <is>
          <t>1fe03f05-4807-416c-bea3-c470cbf26475</t>
        </is>
      </c>
      <c r="B386" s="4" t="inlineStr">
        <is>
          <t>Spencer Dumas</t>
        </is>
      </c>
      <c r="C386" s="6" t="inlineStr">
        <is>
          <t>skdumas03@gmail.com</t>
        </is>
      </c>
      <c r="D386" s="21" t="n">
        <v>2.6025</v>
      </c>
      <c r="E386" s="22" t="n">
        <v>89.3475</v>
      </c>
      <c r="F386" s="23" t="n">
        <v>10</v>
      </c>
      <c r="G386" s="24">
        <f>D386*H386</f>
        <v>390.375</v>
      </c>
      <c r="H386" s="25" t="n">
        <v>150</v>
      </c>
    </row>
    <row r="387">
      <c r="A387" s="20" t="inlineStr">
        <is>
          <t>ba728d4f-2582-42aa-91e0-2ab5b1943936</t>
        </is>
      </c>
      <c r="B387" s="4" t="inlineStr">
        <is>
          <t>Marc Levy</t>
        </is>
      </c>
      <c r="C387" s="6" t="inlineStr">
        <is>
          <t>marclevyp@gmail.com</t>
        </is>
      </c>
      <c r="D387" s="21" t="n">
        <v>0.2754</v>
      </c>
      <c r="E387" s="22" t="n">
        <v>13.5274</v>
      </c>
      <c r="F387" s="23" t="n">
        <v>3</v>
      </c>
      <c r="G387" s="24">
        <f>D387*H387</f>
        <v>41.309999999999995</v>
      </c>
      <c r="H387" s="25" t="n">
        <v>150</v>
      </c>
    </row>
    <row r="388">
      <c r="A388" s="20" t="inlineStr">
        <is>
          <t>8ff533ce-d99e-459a-88b6-09e0b2cd0ae9</t>
        </is>
      </c>
      <c r="B388" s="4" t="inlineStr">
        <is>
          <t>Marc Levy</t>
        </is>
      </c>
      <c r="C388" s="6" t="inlineStr">
        <is>
          <t>marclevyp@gmail.com</t>
        </is>
      </c>
      <c r="D388" s="21" t="n">
        <v>0.3009</v>
      </c>
      <c r="E388" s="22" t="n">
        <v>0.4595</v>
      </c>
      <c r="F388" s="23" t="n">
        <v>1</v>
      </c>
      <c r="G388" s="24">
        <f>D388*H388</f>
        <v>45.135</v>
      </c>
      <c r="H388" s="25" t="n">
        <v>150</v>
      </c>
    </row>
    <row r="389">
      <c r="A389" s="20" t="inlineStr">
        <is>
          <t>5de7ebcb-454c-4003-9f42-a61956c14f00</t>
        </is>
      </c>
      <c r="B389" s="4" t="inlineStr">
        <is>
          <t>Marc Levy</t>
        </is>
      </c>
      <c r="C389" s="6" t="inlineStr">
        <is>
          <t>marclevyp@gmail.com</t>
        </is>
      </c>
      <c r="D389" s="21" t="n">
        <v>0.3113</v>
      </c>
      <c r="E389" s="22" t="n">
        <v>12.4913</v>
      </c>
      <c r="F389" s="23" t="n">
        <v>3</v>
      </c>
      <c r="G389" s="24">
        <f>D389*H389</f>
        <v>46.695</v>
      </c>
      <c r="H389" s="25" t="n">
        <v>150</v>
      </c>
    </row>
    <row r="390">
      <c r="A390" s="20" t="inlineStr">
        <is>
          <t>7e86c59e-3b2a-4e6c-a2ae-5b3270413dcc</t>
        </is>
      </c>
      <c r="B390" s="4" t="inlineStr">
        <is>
          <t>Marc Levy</t>
        </is>
      </c>
      <c r="C390" s="6" t="inlineStr">
        <is>
          <t>marclevyp@gmail.com</t>
        </is>
      </c>
      <c r="D390" s="21" t="n">
        <v>0.4402</v>
      </c>
      <c r="E390" s="22" t="n">
        <v>6.2276</v>
      </c>
      <c r="F390" s="23" t="n">
        <v>3</v>
      </c>
      <c r="G390" s="24">
        <f>D390*H390</f>
        <v>66.03</v>
      </c>
      <c r="H390" s="25" t="n">
        <v>150</v>
      </c>
    </row>
    <row r="391">
      <c r="A391" s="20" t="inlineStr">
        <is>
          <t>a2c61b52-3fb9-4b40-a975-12b5ab0a1047</t>
        </is>
      </c>
      <c r="B391" s="4" t="inlineStr">
        <is>
          <t>Marc Levy</t>
        </is>
      </c>
      <c r="C391" s="6" t="inlineStr">
        <is>
          <t>marclevyp@gmail.com</t>
        </is>
      </c>
      <c r="D391" s="21" t="n">
        <v>0.5099</v>
      </c>
      <c r="E391" s="22" t="n">
        <v>23.5689</v>
      </c>
      <c r="F391" s="23" t="n">
        <v>5</v>
      </c>
      <c r="G391" s="24">
        <f>D391*H391</f>
        <v>76.485</v>
      </c>
      <c r="H391" s="25" t="n">
        <v>150</v>
      </c>
    </row>
    <row r="392">
      <c r="A392" s="20" t="inlineStr">
        <is>
          <t>2909cebe-f746-4106-97c8-8e2f38bdfde3</t>
        </is>
      </c>
      <c r="B392" s="4" t="inlineStr">
        <is>
          <t>Marc Levy</t>
        </is>
      </c>
      <c r="C392" s="6" t="inlineStr">
        <is>
          <t>marclevyp@gmail.com</t>
        </is>
      </c>
      <c r="D392" s="21" t="n">
        <v>0.9268999999999999</v>
      </c>
      <c r="E392" s="22" t="n">
        <v>5.9973</v>
      </c>
      <c r="F392" s="23" t="n">
        <v>2</v>
      </c>
      <c r="G392" s="24">
        <f>D392*H392</f>
        <v>139.035</v>
      </c>
      <c r="H392" s="25" t="n">
        <v>150</v>
      </c>
    </row>
    <row r="393">
      <c r="A393" s="20" t="inlineStr">
        <is>
          <t>cdf7156e-844c-4343-b385-2a3ba04ac5e3</t>
        </is>
      </c>
      <c r="B393" s="4" t="inlineStr">
        <is>
          <t>Marc Levy</t>
        </is>
      </c>
      <c r="C393" s="6" t="inlineStr">
        <is>
          <t>marclevyp@gmail.com</t>
        </is>
      </c>
      <c r="D393" s="21" t="n">
        <v>0.962</v>
      </c>
      <c r="E393" s="22" t="n">
        <v>21.5295</v>
      </c>
      <c r="F393" s="23" t="n">
        <v>7</v>
      </c>
      <c r="G393" s="24">
        <f>D393*H393</f>
        <v>144.29999999999998</v>
      </c>
      <c r="H393" s="25" t="n">
        <v>150</v>
      </c>
    </row>
    <row r="394">
      <c r="A394" s="20" t="inlineStr">
        <is>
          <t>3dcaf73c-b2e3-4128-9c90-1efd93e2c2bc</t>
        </is>
      </c>
      <c r="B394" s="4" t="inlineStr">
        <is>
          <t>Marc Levy</t>
        </is>
      </c>
      <c r="C394" s="6" t="inlineStr">
        <is>
          <t>marclevyp@gmail.com</t>
        </is>
      </c>
      <c r="D394" s="21" t="n">
        <v>0.9939</v>
      </c>
      <c r="E394" s="22" t="n">
        <v>23.0217</v>
      </c>
      <c r="F394" s="23" t="n">
        <v>4</v>
      </c>
      <c r="G394" s="24">
        <f>D394*H394</f>
        <v>149.085</v>
      </c>
      <c r="H394" s="25" t="n">
        <v>150</v>
      </c>
    </row>
    <row r="395">
      <c r="A395" s="20" t="inlineStr">
        <is>
          <t>7e5be81e-e21a-485c-8252-9b30537cf4f0</t>
        </is>
      </c>
      <c r="B395" s="4" t="inlineStr">
        <is>
          <t>Elliot Saye</t>
        </is>
      </c>
      <c r="C395" s="6" t="inlineStr">
        <is>
          <t>esaye@umich.edu</t>
        </is>
      </c>
      <c r="D395" s="21" t="n">
        <v>0.0115</v>
      </c>
      <c r="E395" s="22" t="n">
        <v>0.288</v>
      </c>
      <c r="F395" s="23" t="n">
        <v>1</v>
      </c>
      <c r="G395" s="24">
        <f>D395*H395</f>
        <v>2.3</v>
      </c>
      <c r="H395" s="25" t="n">
        <v>200</v>
      </c>
    </row>
    <row r="396">
      <c r="A396" s="20" t="inlineStr">
        <is>
          <t>469f9ac4-5a22-4c3e-8be5-bf89eb7e3fb3</t>
        </is>
      </c>
      <c r="B396" s="4" t="inlineStr">
        <is>
          <t>Elliot Saye</t>
        </is>
      </c>
      <c r="C396" s="6" t="inlineStr">
        <is>
          <t>esaye@umich.edu</t>
        </is>
      </c>
      <c r="D396" s="21" t="n">
        <v>0.016</v>
      </c>
      <c r="E396" s="22" t="n">
        <v>0.6893</v>
      </c>
      <c r="F396" s="23" t="n">
        <v>1</v>
      </c>
      <c r="G396" s="24">
        <f>D396*H396</f>
        <v>3.2</v>
      </c>
      <c r="H396" s="25" t="n">
        <v>200</v>
      </c>
    </row>
    <row r="397">
      <c r="A397" s="20" t="inlineStr">
        <is>
          <t>d4d5a73a-d4a8-4342-98e4-2e1f535820ab</t>
        </is>
      </c>
      <c r="B397" s="4" t="inlineStr">
        <is>
          <t>Elliot Saye</t>
        </is>
      </c>
      <c r="C397" s="6" t="inlineStr">
        <is>
          <t>esaye@umich.edu</t>
        </is>
      </c>
      <c r="D397" s="21" t="n">
        <v>0.0248</v>
      </c>
      <c r="E397" s="22" t="n">
        <v>0.7196</v>
      </c>
      <c r="F397" s="23" t="n">
        <v>1</v>
      </c>
      <c r="G397" s="24">
        <f>D397*H397</f>
        <v>4.96</v>
      </c>
      <c r="H397" s="25" t="n">
        <v>200</v>
      </c>
    </row>
    <row r="398">
      <c r="A398" s="20" t="inlineStr">
        <is>
          <t>43bf80c5-46bb-49cd-b6d2-91567895c177</t>
        </is>
      </c>
      <c r="B398" s="4" t="inlineStr">
        <is>
          <t>Elliot Saye</t>
        </is>
      </c>
      <c r="C398" s="6" t="inlineStr">
        <is>
          <t>esaye@umich.edu</t>
        </is>
      </c>
      <c r="D398" s="21" t="n">
        <v>0.0394</v>
      </c>
      <c r="E398" s="22" t="n">
        <v>0.5046</v>
      </c>
      <c r="F398" s="23" t="n">
        <v>1</v>
      </c>
      <c r="G398" s="24">
        <f>D398*H398</f>
        <v>7.88</v>
      </c>
      <c r="H398" s="25" t="n">
        <v>200</v>
      </c>
    </row>
    <row r="399">
      <c r="A399" s="20" t="inlineStr">
        <is>
          <t>ff8db268-ea20-4fbe-a4aa-93ceb4f72ba5</t>
        </is>
      </c>
      <c r="B399" s="4" t="inlineStr">
        <is>
          <t>Elliot Saye</t>
        </is>
      </c>
      <c r="C399" s="6" t="inlineStr">
        <is>
          <t>esaye@umich.edu</t>
        </is>
      </c>
      <c r="D399" s="21" t="n">
        <v>0.0858</v>
      </c>
      <c r="E399" s="22" t="n">
        <v>7.7384</v>
      </c>
      <c r="F399" s="23" t="n">
        <v>2</v>
      </c>
      <c r="G399" s="24">
        <f>D399*H399</f>
        <v>17.16</v>
      </c>
      <c r="H399" s="25" t="n">
        <v>200</v>
      </c>
    </row>
    <row r="400">
      <c r="A400" s="20" t="inlineStr">
        <is>
          <t>b839f675-7756-418a-8d8c-ebde88026051</t>
        </is>
      </c>
      <c r="B400" s="4" t="inlineStr">
        <is>
          <t>Elliot Saye</t>
        </is>
      </c>
      <c r="C400" s="6" t="inlineStr">
        <is>
          <t>esaye@umich.edu</t>
        </is>
      </c>
      <c r="D400" s="21" t="n">
        <v>0.09859999999999999</v>
      </c>
      <c r="E400" s="22" t="n">
        <v>12.0908</v>
      </c>
      <c r="F400" s="23" t="n">
        <v>3</v>
      </c>
      <c r="G400" s="24">
        <f>D400*H400</f>
        <v>19.72</v>
      </c>
      <c r="H400" s="25" t="n">
        <v>200</v>
      </c>
    </row>
    <row r="401">
      <c r="A401" s="20" t="inlineStr">
        <is>
          <t>203c2ee8-ed42-4d15-89b4-51f1a50f079a</t>
        </is>
      </c>
      <c r="B401" s="4" t="inlineStr">
        <is>
          <t>Elliot Saye</t>
        </is>
      </c>
      <c r="C401" s="6" t="inlineStr">
        <is>
          <t>esaye@umich.edu</t>
        </is>
      </c>
      <c r="D401" s="21" t="n">
        <v>0.1109</v>
      </c>
      <c r="E401" s="22" t="n">
        <v>7.3818</v>
      </c>
      <c r="F401" s="23" t="n">
        <v>2</v>
      </c>
      <c r="G401" s="24">
        <f>D401*H401</f>
        <v>22.18</v>
      </c>
      <c r="H401" s="25" t="n">
        <v>200</v>
      </c>
    </row>
    <row r="402">
      <c r="A402" s="20" t="inlineStr">
        <is>
          <t>1cb5c2c6-9838-4b1b-8779-5da03cfb2869</t>
        </is>
      </c>
      <c r="B402" s="4" t="inlineStr">
        <is>
          <t>Elliot Saye</t>
        </is>
      </c>
      <c r="C402" s="6" t="inlineStr">
        <is>
          <t>esaye@umich.edu</t>
        </is>
      </c>
      <c r="D402" s="21" t="n">
        <v>0.1251</v>
      </c>
      <c r="E402" s="22" t="n">
        <v>6.7363</v>
      </c>
      <c r="F402" s="23" t="n">
        <v>3</v>
      </c>
      <c r="G402" s="24">
        <f>D402*H402</f>
        <v>25.019999999999996</v>
      </c>
      <c r="H402" s="25" t="n">
        <v>200</v>
      </c>
    </row>
    <row r="403">
      <c r="A403" s="20" t="inlineStr">
        <is>
          <t>c78e3239-2257-4b60-b845-fa8e7a7cbaf5</t>
        </is>
      </c>
      <c r="B403" s="4" t="inlineStr">
        <is>
          <t>Elliot Saye</t>
        </is>
      </c>
      <c r="C403" s="6" t="inlineStr">
        <is>
          <t>esaye@umich.edu</t>
        </is>
      </c>
      <c r="D403" s="21" t="n">
        <v>0.1397</v>
      </c>
      <c r="E403" s="22" t="n">
        <v>15.1497</v>
      </c>
      <c r="F403" s="23" t="n">
        <v>2</v>
      </c>
      <c r="G403" s="24">
        <f>D403*H403</f>
        <v>27.939999999999998</v>
      </c>
      <c r="H403" s="25" t="n">
        <v>200</v>
      </c>
    </row>
    <row r="404">
      <c r="A404" s="20" t="inlineStr">
        <is>
          <t>20221225-b948-433f-9847-69ff7d0cdcf2</t>
        </is>
      </c>
      <c r="B404" s="4" t="inlineStr">
        <is>
          <t>Elliot Saye</t>
        </is>
      </c>
      <c r="C404" s="6" t="inlineStr">
        <is>
          <t>esaye@umich.edu</t>
        </is>
      </c>
      <c r="D404" s="21" t="n">
        <v>0.1458</v>
      </c>
      <c r="E404" s="22" t="n">
        <v>8.0097</v>
      </c>
      <c r="F404" s="23" t="n">
        <v>2</v>
      </c>
      <c r="G404" s="24">
        <f>D404*H404</f>
        <v>29.160000000000004</v>
      </c>
      <c r="H404" s="25" t="n">
        <v>200</v>
      </c>
    </row>
    <row r="405">
      <c r="A405" s="20" t="inlineStr">
        <is>
          <t>6c857c23-e359-4b46-9433-0b367306ade1</t>
        </is>
      </c>
      <c r="B405" s="4" t="inlineStr">
        <is>
          <t>Elliot Saye</t>
        </is>
      </c>
      <c r="C405" s="6" t="inlineStr">
        <is>
          <t>esaye@umich.edu</t>
        </is>
      </c>
      <c r="D405" s="21" t="n">
        <v>0.1649</v>
      </c>
      <c r="E405" s="22" t="n">
        <v>8.1546</v>
      </c>
      <c r="F405" s="23" t="n">
        <v>3</v>
      </c>
      <c r="G405" s="24">
        <f>D405*H405</f>
        <v>32.98</v>
      </c>
      <c r="H405" s="25" t="n">
        <v>200</v>
      </c>
    </row>
    <row r="406">
      <c r="A406" s="20" t="inlineStr">
        <is>
          <t>a88e2946-6800-48b4-ab01-42b3ea954630</t>
        </is>
      </c>
      <c r="B406" s="4" t="inlineStr">
        <is>
          <t>Elliot Saye</t>
        </is>
      </c>
      <c r="C406" s="6" t="inlineStr">
        <is>
          <t>esaye@umich.edu</t>
        </is>
      </c>
      <c r="D406" s="21" t="n">
        <v>0.1682</v>
      </c>
      <c r="E406" s="22" t="n">
        <v>0.6225000000000001</v>
      </c>
      <c r="F406" s="23" t="n">
        <v>1</v>
      </c>
      <c r="G406" s="24">
        <f>D406*H406</f>
        <v>33.64</v>
      </c>
      <c r="H406" s="25" t="n">
        <v>200</v>
      </c>
    </row>
    <row r="407">
      <c r="A407" s="20" t="inlineStr">
        <is>
          <t>1900f5a2-b045-45f4-ba04-052a60ce6a76</t>
        </is>
      </c>
      <c r="B407" s="4" t="inlineStr">
        <is>
          <t>Elliot Saye</t>
        </is>
      </c>
      <c r="C407" s="6" t="inlineStr">
        <is>
          <t>esaye@umich.edu</t>
        </is>
      </c>
      <c r="D407" s="21" t="n">
        <v>0.1814</v>
      </c>
      <c r="E407" s="22" t="n">
        <v>4.5533</v>
      </c>
      <c r="F407" s="23" t="n">
        <v>2</v>
      </c>
      <c r="G407" s="24">
        <f>D407*H407</f>
        <v>36.28</v>
      </c>
      <c r="H407" s="25" t="n">
        <v>200</v>
      </c>
    </row>
    <row r="408">
      <c r="A408" s="20" t="inlineStr">
        <is>
          <t>c04b9b27-188b-435a-b421-e62691993fb1</t>
        </is>
      </c>
      <c r="B408" s="4" t="inlineStr">
        <is>
          <t>Elliot Saye</t>
        </is>
      </c>
      <c r="C408" s="6" t="inlineStr">
        <is>
          <t>esaye@umich.edu</t>
        </is>
      </c>
      <c r="D408" s="21" t="n">
        <v>0.19</v>
      </c>
      <c r="E408" s="22" t="n">
        <v>2.4349</v>
      </c>
      <c r="F408" s="23" t="n">
        <v>2</v>
      </c>
      <c r="G408" s="24">
        <f>D408*H408</f>
        <v>38.0</v>
      </c>
      <c r="H408" s="25" t="n">
        <v>200</v>
      </c>
    </row>
    <row r="409">
      <c r="A409" s="20" t="inlineStr">
        <is>
          <t>afcb560e-b69b-4140-89db-1bd9437d683a</t>
        </is>
      </c>
      <c r="B409" s="4" t="inlineStr">
        <is>
          <t>Elliot Saye</t>
        </is>
      </c>
      <c r="C409" s="6" t="inlineStr">
        <is>
          <t>esaye@umich.edu</t>
        </is>
      </c>
      <c r="D409" s="21" t="n">
        <v>0.1906</v>
      </c>
      <c r="E409" s="22" t="n">
        <v>0.5766</v>
      </c>
      <c r="F409" s="23" t="n">
        <v>1</v>
      </c>
      <c r="G409" s="24">
        <f>D409*H409</f>
        <v>38.12</v>
      </c>
      <c r="H409" s="25" t="n">
        <v>200</v>
      </c>
    </row>
    <row r="410">
      <c r="A410" s="20" t="inlineStr">
        <is>
          <t>f0e371ee-feb0-462e-87d7-b9076c341aa7</t>
        </is>
      </c>
      <c r="B410" s="4" t="inlineStr">
        <is>
          <t>Elliot Saye</t>
        </is>
      </c>
      <c r="C410" s="6" t="inlineStr">
        <is>
          <t>esaye@umich.edu</t>
        </is>
      </c>
      <c r="D410" s="21" t="n">
        <v>0.2099</v>
      </c>
      <c r="E410" s="22" t="n">
        <v>0.635</v>
      </c>
      <c r="F410" s="23" t="n">
        <v>1</v>
      </c>
      <c r="G410" s="24">
        <f>D410*H410</f>
        <v>41.980000000000004</v>
      </c>
      <c r="H410" s="25" t="n">
        <v>200</v>
      </c>
    </row>
    <row r="411">
      <c r="A411" s="20" t="inlineStr">
        <is>
          <t>c395571e-c546-46d1-88e2-51f16f03be30</t>
        </is>
      </c>
      <c r="B411" s="4" t="inlineStr">
        <is>
          <t>Elliot Saye</t>
        </is>
      </c>
      <c r="C411" s="6" t="inlineStr">
        <is>
          <t>esaye@umich.edu</t>
        </is>
      </c>
      <c r="D411" s="21" t="n">
        <v>0.2183</v>
      </c>
      <c r="E411" s="22" t="n">
        <v>12.199</v>
      </c>
      <c r="F411" s="23" t="n">
        <v>3</v>
      </c>
      <c r="G411" s="24">
        <f>D411*H411</f>
        <v>43.66</v>
      </c>
      <c r="H411" s="25" t="n">
        <v>200</v>
      </c>
    </row>
    <row r="412">
      <c r="A412" s="20" t="inlineStr">
        <is>
          <t>9364d357-d73d-4315-8f0d-657b9c220e69</t>
        </is>
      </c>
      <c r="B412" s="4" t="inlineStr">
        <is>
          <t>Elliot Saye</t>
        </is>
      </c>
      <c r="C412" s="6" t="inlineStr">
        <is>
          <t>esaye@umich.edu</t>
        </is>
      </c>
      <c r="D412" s="21" t="n">
        <v>0.2367</v>
      </c>
      <c r="E412" s="22" t="n">
        <v>0.4821</v>
      </c>
      <c r="F412" s="23" t="n">
        <v>1</v>
      </c>
      <c r="G412" s="24">
        <f>D412*H412</f>
        <v>47.339999999999996</v>
      </c>
      <c r="H412" s="25" t="n">
        <v>200</v>
      </c>
    </row>
    <row r="413">
      <c r="A413" s="20" t="inlineStr">
        <is>
          <t>ea3351bb-ca58-491f-a9cc-4313d0384b4c</t>
        </is>
      </c>
      <c r="B413" s="4" t="inlineStr">
        <is>
          <t>Elliot Saye</t>
        </is>
      </c>
      <c r="C413" s="6" t="inlineStr">
        <is>
          <t>esaye@umich.edu</t>
        </is>
      </c>
      <c r="D413" s="21" t="n">
        <v>0.2418</v>
      </c>
      <c r="E413" s="22" t="n">
        <v>6.8519</v>
      </c>
      <c r="F413" s="23" t="n">
        <v>3</v>
      </c>
      <c r="G413" s="24">
        <f>D413*H413</f>
        <v>48.36</v>
      </c>
      <c r="H413" s="25" t="n">
        <v>200</v>
      </c>
    </row>
    <row r="414">
      <c r="A414" s="20" t="inlineStr">
        <is>
          <t>cc7b1738-c98a-4ac1-bc2d-a88b3bf821bc</t>
        </is>
      </c>
      <c r="B414" s="4" t="inlineStr">
        <is>
          <t>Elliot Saye</t>
        </is>
      </c>
      <c r="C414" s="6" t="inlineStr">
        <is>
          <t>esaye@umich.edu</t>
        </is>
      </c>
      <c r="D414" s="21" t="n">
        <v>0.2437</v>
      </c>
      <c r="E414" s="22" t="n">
        <v>0.4964</v>
      </c>
      <c r="F414" s="23" t="n">
        <v>1</v>
      </c>
      <c r="G414" s="24">
        <f>D414*H414</f>
        <v>48.74</v>
      </c>
      <c r="H414" s="25" t="n">
        <v>200</v>
      </c>
    </row>
    <row r="415">
      <c r="A415" s="20" t="inlineStr">
        <is>
          <t>91377498-fea7-4399-ad57-9c2c2babf4c6</t>
        </is>
      </c>
      <c r="B415" s="4" t="inlineStr">
        <is>
          <t>Elliot Saye</t>
        </is>
      </c>
      <c r="C415" s="6" t="inlineStr">
        <is>
          <t>esaye@umich.edu</t>
        </is>
      </c>
      <c r="D415" s="21" t="n">
        <v>0.2478</v>
      </c>
      <c r="E415" s="22" t="n">
        <v>6.8542</v>
      </c>
      <c r="F415" s="23" t="n">
        <v>2</v>
      </c>
      <c r="G415" s="24">
        <f>D415*H415</f>
        <v>49.559999999999995</v>
      </c>
      <c r="H415" s="25" t="n">
        <v>200</v>
      </c>
    </row>
    <row r="416">
      <c r="A416" s="20" t="inlineStr">
        <is>
          <t>16ca493e-4694-4fdf-8645-5edda0194358</t>
        </is>
      </c>
      <c r="B416" s="4" t="inlineStr">
        <is>
          <t>Elliot Saye</t>
        </is>
      </c>
      <c r="C416" s="6" t="inlineStr">
        <is>
          <t>esaye@umich.edu</t>
        </is>
      </c>
      <c r="D416" s="21" t="n">
        <v>0.2713</v>
      </c>
      <c r="E416" s="22" t="n">
        <v>12.8375</v>
      </c>
      <c r="F416" s="23" t="n">
        <v>3</v>
      </c>
      <c r="G416" s="24">
        <f>D416*H416</f>
        <v>54.26</v>
      </c>
      <c r="H416" s="25" t="n">
        <v>200</v>
      </c>
    </row>
    <row r="417">
      <c r="A417" s="20" t="inlineStr">
        <is>
          <t>299d90fc-f538-4233-b33e-fba5533bf9f7</t>
        </is>
      </c>
      <c r="B417" s="4" t="inlineStr">
        <is>
          <t>Elliot Saye</t>
        </is>
      </c>
      <c r="C417" s="6" t="inlineStr">
        <is>
          <t>esaye@umich.edu</t>
        </is>
      </c>
      <c r="D417" s="21" t="n">
        <v>0.2779</v>
      </c>
      <c r="E417" s="22" t="n">
        <v>6.722</v>
      </c>
      <c r="F417" s="23" t="n">
        <v>2</v>
      </c>
      <c r="G417" s="24">
        <f>D417*H417</f>
        <v>55.58</v>
      </c>
      <c r="H417" s="25" t="n">
        <v>200</v>
      </c>
    </row>
    <row r="418">
      <c r="A418" s="20" t="inlineStr">
        <is>
          <t>d0d54377-bb8d-405c-a7ae-197b023b91df</t>
        </is>
      </c>
      <c r="B418" s="4" t="inlineStr">
        <is>
          <t>Elliot Saye</t>
        </is>
      </c>
      <c r="C418" s="6" t="inlineStr">
        <is>
          <t>esaye@umich.edu</t>
        </is>
      </c>
      <c r="D418" s="21" t="n">
        <v>0.2951</v>
      </c>
      <c r="E418" s="22" t="n">
        <v>14.4059</v>
      </c>
      <c r="F418" s="23" t="n">
        <v>5</v>
      </c>
      <c r="G418" s="24">
        <f>D418*H418</f>
        <v>59.019999999999996</v>
      </c>
      <c r="H418" s="25" t="n">
        <v>200</v>
      </c>
    </row>
    <row r="419">
      <c r="A419" s="20" t="inlineStr">
        <is>
          <t>5c9da5d9-cc96-47bf-b8cd-5ebfe411f76a</t>
        </is>
      </c>
      <c r="B419" s="4" t="inlineStr">
        <is>
          <t>Elliot Saye</t>
        </is>
      </c>
      <c r="C419" s="6" t="inlineStr">
        <is>
          <t>esaye@umich.edu</t>
        </is>
      </c>
      <c r="D419" s="21" t="n">
        <v>0.3018</v>
      </c>
      <c r="E419" s="22" t="n">
        <v>0.9216</v>
      </c>
      <c r="F419" s="23" t="n">
        <v>2</v>
      </c>
      <c r="G419" s="24">
        <f>D419*H419</f>
        <v>60.36</v>
      </c>
      <c r="H419" s="25" t="n">
        <v>200</v>
      </c>
    </row>
    <row r="420">
      <c r="A420" s="20" t="inlineStr">
        <is>
          <t>78ebb96a-ac90-4941-a2ff-322258b8b1dc</t>
        </is>
      </c>
      <c r="B420" s="4" t="inlineStr">
        <is>
          <t>Elliot Saye</t>
        </is>
      </c>
      <c r="C420" s="6" t="inlineStr">
        <is>
          <t>esaye@umich.edu</t>
        </is>
      </c>
      <c r="D420" s="21" t="n">
        <v>0.3175</v>
      </c>
      <c r="E420" s="22" t="n">
        <v>12.7196</v>
      </c>
      <c r="F420" s="23" t="n">
        <v>2</v>
      </c>
      <c r="G420" s="24">
        <f>D420*H420</f>
        <v>63.5</v>
      </c>
      <c r="H420" s="25" t="n">
        <v>200</v>
      </c>
    </row>
    <row r="421">
      <c r="A421" s="20" t="inlineStr">
        <is>
          <t>8d1f391a-181a-4de4-8668-fd72e8d55be1</t>
        </is>
      </c>
      <c r="B421" s="4" t="inlineStr">
        <is>
          <t>Elliot Saye</t>
        </is>
      </c>
      <c r="C421" s="6" t="inlineStr">
        <is>
          <t>esaye@umich.edu</t>
        </is>
      </c>
      <c r="D421" s="21" t="n">
        <v>0.318</v>
      </c>
      <c r="E421" s="22" t="n">
        <v>12.5804</v>
      </c>
      <c r="F421" s="23" t="n">
        <v>3</v>
      </c>
      <c r="G421" s="24">
        <f>D421*H421</f>
        <v>63.6</v>
      </c>
      <c r="H421" s="25" t="n">
        <v>200</v>
      </c>
    </row>
    <row r="422">
      <c r="A422" s="20" t="inlineStr">
        <is>
          <t>21ecb1e7-71a4-405e-a968-0d3565aa8cb0</t>
        </is>
      </c>
      <c r="B422" s="4" t="inlineStr">
        <is>
          <t>Elliot Saye</t>
        </is>
      </c>
      <c r="C422" s="6" t="inlineStr">
        <is>
          <t>esaye@umich.edu</t>
        </is>
      </c>
      <c r="D422" s="21" t="n">
        <v>0.3425</v>
      </c>
      <c r="E422" s="22" t="n">
        <v>12.8795</v>
      </c>
      <c r="F422" s="23" t="n">
        <v>5</v>
      </c>
      <c r="G422" s="24">
        <f>D422*H422</f>
        <v>68.5</v>
      </c>
      <c r="H422" s="25" t="n">
        <v>200</v>
      </c>
    </row>
    <row r="423">
      <c r="A423" s="20" t="inlineStr">
        <is>
          <t>b5e4d963-0bf9-47cc-a674-77fb696a3de0</t>
        </is>
      </c>
      <c r="B423" s="4" t="inlineStr">
        <is>
          <t>Elliot Saye</t>
        </is>
      </c>
      <c r="C423" s="6" t="inlineStr">
        <is>
          <t>esaye@umich.edu</t>
        </is>
      </c>
      <c r="D423" s="21" t="n">
        <v>0.3446</v>
      </c>
      <c r="E423" s="22" t="n">
        <v>11.5074</v>
      </c>
      <c r="F423" s="23" t="n">
        <v>4</v>
      </c>
      <c r="G423" s="24">
        <f>D423*H423</f>
        <v>68.92</v>
      </c>
      <c r="H423" s="25" t="n">
        <v>200</v>
      </c>
    </row>
    <row r="424">
      <c r="A424" s="20" t="inlineStr">
        <is>
          <t>6b5d73a1-6292-4b58-8b2a-991e6511f56e</t>
        </is>
      </c>
      <c r="B424" s="4" t="inlineStr">
        <is>
          <t>Elliot Saye</t>
        </is>
      </c>
      <c r="C424" s="6" t="inlineStr">
        <is>
          <t>esaye@umich.edu</t>
        </is>
      </c>
      <c r="D424" s="21" t="n">
        <v>0.3526</v>
      </c>
      <c r="E424" s="22" t="n">
        <v>9.8972</v>
      </c>
      <c r="F424" s="23" t="n">
        <v>3</v>
      </c>
      <c r="G424" s="24">
        <f>D424*H424</f>
        <v>70.52000000000001</v>
      </c>
      <c r="H424" s="25" t="n">
        <v>200</v>
      </c>
    </row>
    <row r="425">
      <c r="A425" s="20" t="inlineStr">
        <is>
          <t>c556f869-42de-4007-868f-755202478c5b</t>
        </is>
      </c>
      <c r="B425" s="4" t="inlineStr">
        <is>
          <t>Elliot Saye</t>
        </is>
      </c>
      <c r="C425" s="6" t="inlineStr">
        <is>
          <t>esaye@umich.edu</t>
        </is>
      </c>
      <c r="D425" s="21" t="n">
        <v>0.3734</v>
      </c>
      <c r="E425" s="22" t="n">
        <v>12.7823</v>
      </c>
      <c r="F425" s="23" t="n">
        <v>2</v>
      </c>
      <c r="G425" s="24">
        <f>D425*H425</f>
        <v>74.68</v>
      </c>
      <c r="H425" s="25" t="n">
        <v>200</v>
      </c>
    </row>
    <row r="426">
      <c r="A426" s="20" t="inlineStr">
        <is>
          <t>82eb07fe-54d6-4f2e-8b85-d4dfc77cd3dd</t>
        </is>
      </c>
      <c r="B426" s="4" t="inlineStr">
        <is>
          <t>Elliot Saye</t>
        </is>
      </c>
      <c r="C426" s="6" t="inlineStr">
        <is>
          <t>esaye@umich.edu</t>
        </is>
      </c>
      <c r="D426" s="21" t="n">
        <v>0.4013</v>
      </c>
      <c r="E426" s="22" t="n">
        <v>0.5573</v>
      </c>
      <c r="F426" s="23" t="n">
        <v>2</v>
      </c>
      <c r="G426" s="24">
        <f>D426*H426</f>
        <v>80.25999999999999</v>
      </c>
      <c r="H426" s="25" t="n">
        <v>200</v>
      </c>
    </row>
    <row r="427">
      <c r="A427" s="20" t="inlineStr">
        <is>
          <t>c258c265-98fd-4727-b4a8-4e1a2c42fed2</t>
        </is>
      </c>
      <c r="B427" s="4" t="inlineStr">
        <is>
          <t>Elliot Saye</t>
        </is>
      </c>
      <c r="C427" s="6" t="inlineStr">
        <is>
          <t>esaye@umich.edu</t>
        </is>
      </c>
      <c r="D427" s="21" t="n">
        <v>0.4206</v>
      </c>
      <c r="E427" s="22" t="n">
        <v>23.1933</v>
      </c>
      <c r="F427" s="23" t="n">
        <v>4</v>
      </c>
      <c r="G427" s="24">
        <f>D427*H427</f>
        <v>84.11999999999999</v>
      </c>
      <c r="H427" s="25" t="n">
        <v>200</v>
      </c>
    </row>
    <row r="428">
      <c r="A428" s="20" t="inlineStr">
        <is>
          <t>68509ccf-1647-4693-a144-256da6e2891b</t>
        </is>
      </c>
      <c r="B428" s="4" t="inlineStr">
        <is>
          <t>Elliot Saye</t>
        </is>
      </c>
      <c r="C428" s="6" t="inlineStr">
        <is>
          <t>esaye@umich.edu</t>
        </is>
      </c>
      <c r="D428" s="21" t="n">
        <v>0.4293</v>
      </c>
      <c r="E428" s="22" t="n">
        <v>13.0976</v>
      </c>
      <c r="F428" s="23" t="n">
        <v>2</v>
      </c>
      <c r="G428" s="24">
        <f>D428*H428</f>
        <v>85.86</v>
      </c>
      <c r="H428" s="25" t="n">
        <v>200</v>
      </c>
    </row>
    <row r="429">
      <c r="A429" s="20" t="inlineStr">
        <is>
          <t>18838432-0a46-4054-989b-1c2645997352</t>
        </is>
      </c>
      <c r="B429" s="4" t="inlineStr">
        <is>
          <t>Elliot Saye</t>
        </is>
      </c>
      <c r="C429" s="6" t="inlineStr">
        <is>
          <t>esaye@umich.edu</t>
        </is>
      </c>
      <c r="D429" s="21" t="n">
        <v>0.4425</v>
      </c>
      <c r="E429" s="22" t="n">
        <v>11.4527</v>
      </c>
      <c r="F429" s="23" t="n">
        <v>2</v>
      </c>
      <c r="G429" s="24">
        <f>D429*H429</f>
        <v>88.5</v>
      </c>
      <c r="H429" s="25" t="n">
        <v>200</v>
      </c>
    </row>
    <row r="430">
      <c r="A430" s="20" t="inlineStr">
        <is>
          <t>12e66bfe-334a-4c10-b752-cf0ec456c584</t>
        </is>
      </c>
      <c r="B430" s="4" t="inlineStr">
        <is>
          <t>Elliot Saye</t>
        </is>
      </c>
      <c r="C430" s="6" t="inlineStr">
        <is>
          <t>esaye@umich.edu</t>
        </is>
      </c>
      <c r="D430" s="21" t="n">
        <v>0.445</v>
      </c>
      <c r="E430" s="22" t="n">
        <v>12.7891</v>
      </c>
      <c r="F430" s="23" t="n">
        <v>3</v>
      </c>
      <c r="G430" s="24">
        <f>D430*H430</f>
        <v>89.0</v>
      </c>
      <c r="H430" s="25" t="n">
        <v>200</v>
      </c>
    </row>
    <row r="431">
      <c r="A431" s="20" t="inlineStr">
        <is>
          <t>570c28b6-f7ec-4cce-9448-b2eb027445fd</t>
        </is>
      </c>
      <c r="B431" s="4" t="inlineStr">
        <is>
          <t>Elliot Saye</t>
        </is>
      </c>
      <c r="C431" s="6" t="inlineStr">
        <is>
          <t>esaye@umich.edu</t>
        </is>
      </c>
      <c r="D431" s="21" t="n">
        <v>0.4783</v>
      </c>
      <c r="E431" s="22" t="n">
        <v>10.375</v>
      </c>
      <c r="F431" s="23" t="n">
        <v>2</v>
      </c>
      <c r="G431" s="24">
        <f>D431*H431</f>
        <v>95.66</v>
      </c>
      <c r="H431" s="25" t="n">
        <v>200</v>
      </c>
    </row>
    <row r="432">
      <c r="A432" s="20" t="inlineStr">
        <is>
          <t>f1d48e5b-8c2c-49c4-bfc7-bb4b0262c95b</t>
        </is>
      </c>
      <c r="B432" s="4" t="inlineStr">
        <is>
          <t>Elliot Saye</t>
        </is>
      </c>
      <c r="C432" s="6" t="inlineStr">
        <is>
          <t>esaye@umich.edu</t>
        </is>
      </c>
      <c r="D432" s="21" t="n">
        <v>0.4908</v>
      </c>
      <c r="E432" s="22" t="n">
        <v>13.2984</v>
      </c>
      <c r="F432" s="23" t="n">
        <v>3</v>
      </c>
      <c r="G432" s="24">
        <f>D432*H432</f>
        <v>98.16</v>
      </c>
      <c r="H432" s="25" t="n">
        <v>200</v>
      </c>
    </row>
    <row r="433">
      <c r="A433" s="20" t="inlineStr">
        <is>
          <t>61d0a877-0a54-4052-8212-9c7b266f448e</t>
        </is>
      </c>
      <c r="B433" s="4" t="inlineStr">
        <is>
          <t>Elliot Saye</t>
        </is>
      </c>
      <c r="C433" s="6" t="inlineStr">
        <is>
          <t>esaye@umich.edu</t>
        </is>
      </c>
      <c r="D433" s="21" t="n">
        <v>0.4911</v>
      </c>
      <c r="E433" s="22" t="n">
        <v>12.5584</v>
      </c>
      <c r="F433" s="23" t="n">
        <v>2</v>
      </c>
      <c r="G433" s="24">
        <f>D433*H433</f>
        <v>98.22</v>
      </c>
      <c r="H433" s="25" t="n">
        <v>200</v>
      </c>
    </row>
    <row r="434">
      <c r="A434" s="20" t="inlineStr">
        <is>
          <t>99564a4e-db77-4f48-909f-35e2d2ac3520</t>
        </is>
      </c>
      <c r="B434" s="4" t="inlineStr">
        <is>
          <t>Elliot Saye</t>
        </is>
      </c>
      <c r="C434" s="6" t="inlineStr">
        <is>
          <t>esaye@umich.edu</t>
        </is>
      </c>
      <c r="D434" s="21" t="n">
        <v>0.5134</v>
      </c>
      <c r="E434" s="22" t="n">
        <v>20.1606</v>
      </c>
      <c r="F434" s="23" t="n">
        <v>3</v>
      </c>
      <c r="G434" s="24">
        <f>D434*H434</f>
        <v>102.67999999999999</v>
      </c>
      <c r="H434" s="25" t="n">
        <v>200</v>
      </c>
    </row>
    <row r="435">
      <c r="A435" s="20" t="inlineStr">
        <is>
          <t>afe98161-df9f-44d7-b56c-9482054c2d0e</t>
        </is>
      </c>
      <c r="B435" s="4" t="inlineStr">
        <is>
          <t>Elliot Saye</t>
        </is>
      </c>
      <c r="C435" s="6" t="inlineStr">
        <is>
          <t>esaye@umich.edu</t>
        </is>
      </c>
      <c r="D435" s="21" t="n">
        <v>0.5233</v>
      </c>
      <c r="E435" s="22" t="n">
        <v>6.2833</v>
      </c>
      <c r="F435" s="23" t="n">
        <v>3</v>
      </c>
      <c r="G435" s="24">
        <f>D435*H435</f>
        <v>104.66</v>
      </c>
      <c r="H435" s="25" t="n">
        <v>200</v>
      </c>
    </row>
    <row r="436">
      <c r="A436" s="20" t="inlineStr">
        <is>
          <t>037fc6e6-9168-46d7-a46f-310708264ac3</t>
        </is>
      </c>
      <c r="B436" s="4" t="inlineStr">
        <is>
          <t>Elliot Saye</t>
        </is>
      </c>
      <c r="C436" s="6" t="inlineStr">
        <is>
          <t>esaye@umich.edu</t>
        </is>
      </c>
      <c r="D436" s="21" t="n">
        <v>0.5909</v>
      </c>
      <c r="E436" s="22" t="n">
        <v>5.0564</v>
      </c>
      <c r="F436" s="23" t="n">
        <v>3</v>
      </c>
      <c r="G436" s="24">
        <f>D436*H436</f>
        <v>118.17999999999999</v>
      </c>
      <c r="H436" s="25" t="n">
        <v>200</v>
      </c>
    </row>
    <row r="437">
      <c r="A437" s="20" t="inlineStr">
        <is>
          <t>c618b951-4679-460c-9e05-ada587be4281</t>
        </is>
      </c>
      <c r="B437" s="4" t="inlineStr">
        <is>
          <t>Elliot Saye</t>
        </is>
      </c>
      <c r="C437" s="6" t="inlineStr">
        <is>
          <t>esaye@umich.edu</t>
        </is>
      </c>
      <c r="D437" s="21" t="n">
        <v>0.5964</v>
      </c>
      <c r="E437" s="22" t="n">
        <v>20.6116</v>
      </c>
      <c r="F437" s="23" t="n">
        <v>4</v>
      </c>
      <c r="G437" s="24">
        <f>D437*H437</f>
        <v>119.28</v>
      </c>
      <c r="H437" s="25" t="n">
        <v>200</v>
      </c>
    </row>
    <row r="438">
      <c r="A438" s="20" t="inlineStr">
        <is>
          <t>e6bce5bb-253e-4f3c-b529-6d4d655f50e5</t>
        </is>
      </c>
      <c r="B438" s="4" t="inlineStr">
        <is>
          <t>Elliot Saye</t>
        </is>
      </c>
      <c r="C438" s="6" t="inlineStr">
        <is>
          <t>esaye@umich.edu</t>
        </is>
      </c>
      <c r="D438" s="21" t="n">
        <v>0.5994</v>
      </c>
      <c r="E438" s="22" t="n">
        <v>3.6244</v>
      </c>
      <c r="F438" s="23" t="n">
        <v>4</v>
      </c>
      <c r="G438" s="24">
        <f>D438*H438</f>
        <v>119.88000000000001</v>
      </c>
      <c r="H438" s="25" t="n">
        <v>200</v>
      </c>
    </row>
    <row r="439">
      <c r="A439" s="20" t="inlineStr">
        <is>
          <t>39614de0-2bb4-477d-8695-b3cbf49f1f67</t>
        </is>
      </c>
      <c r="B439" s="4" t="inlineStr">
        <is>
          <t>Elliot Saye</t>
        </is>
      </c>
      <c r="C439" s="6" t="inlineStr">
        <is>
          <t>esaye@umich.edu</t>
        </is>
      </c>
      <c r="D439" s="21" t="n">
        <v>0.605</v>
      </c>
      <c r="E439" s="22" t="n">
        <v>12.9577</v>
      </c>
      <c r="F439" s="23" t="n">
        <v>4</v>
      </c>
      <c r="G439" s="24">
        <f>D439*H439</f>
        <v>121.0</v>
      </c>
      <c r="H439" s="25" t="n">
        <v>200</v>
      </c>
    </row>
    <row r="440">
      <c r="A440" s="20" t="inlineStr">
        <is>
          <t>a26a9e0f-c70f-4c7d-8c39-4ff1a0775f10</t>
        </is>
      </c>
      <c r="B440" s="4" t="inlineStr">
        <is>
          <t>Elliot Saye</t>
        </is>
      </c>
      <c r="C440" s="6" t="inlineStr">
        <is>
          <t>esaye@umich.edu</t>
        </is>
      </c>
      <c r="D440" s="21" t="n">
        <v>0.6319</v>
      </c>
      <c r="E440" s="22" t="n">
        <v>23.1899</v>
      </c>
      <c r="F440" s="23" t="n">
        <v>5</v>
      </c>
      <c r="G440" s="24">
        <f>D440*H440</f>
        <v>126.38000000000001</v>
      </c>
      <c r="H440" s="25" t="n">
        <v>200</v>
      </c>
    </row>
    <row r="441">
      <c r="A441" s="20" t="inlineStr">
        <is>
          <t>4314c543-f642-4f71-9777-80d44d62c07e</t>
        </is>
      </c>
      <c r="B441" s="4" t="inlineStr">
        <is>
          <t>Elliot Saye</t>
        </is>
      </c>
      <c r="C441" s="6" t="inlineStr">
        <is>
          <t>esaye@umich.edu</t>
        </is>
      </c>
      <c r="D441" s="21" t="n">
        <v>0.708</v>
      </c>
      <c r="E441" s="22" t="n">
        <v>4.0543</v>
      </c>
      <c r="F441" s="23" t="n">
        <v>2</v>
      </c>
      <c r="G441" s="24">
        <f>D441*H441</f>
        <v>141.6</v>
      </c>
      <c r="H441" s="25" t="n">
        <v>200</v>
      </c>
    </row>
    <row r="442">
      <c r="A442" s="20" t="inlineStr">
        <is>
          <t>2e909a22-d4f4-4815-a6f8-940409f997e9</t>
        </is>
      </c>
      <c r="B442" s="4" t="inlineStr">
        <is>
          <t>Elliot Saye</t>
        </is>
      </c>
      <c r="C442" s="6" t="inlineStr">
        <is>
          <t>esaye@umich.edu</t>
        </is>
      </c>
      <c r="D442" s="21" t="n">
        <v>0.7082000000000001</v>
      </c>
      <c r="E442" s="22" t="n">
        <v>12.2362</v>
      </c>
      <c r="F442" s="23" t="n">
        <v>3</v>
      </c>
      <c r="G442" s="24">
        <f>D442*H442</f>
        <v>141.64000000000001</v>
      </c>
      <c r="H442" s="25" t="n">
        <v>200</v>
      </c>
    </row>
    <row r="443">
      <c r="A443" s="20" t="inlineStr">
        <is>
          <t>c2683c54-01cf-4a26-8fbb-acc7a6ca8f29</t>
        </is>
      </c>
      <c r="B443" s="4" t="inlineStr">
        <is>
          <t>Elliot Saye</t>
        </is>
      </c>
      <c r="C443" s="6" t="inlineStr">
        <is>
          <t>esaye@umich.edu</t>
        </is>
      </c>
      <c r="D443" s="21" t="n">
        <v>0.7108</v>
      </c>
      <c r="E443" s="22" t="n">
        <v>13.0153</v>
      </c>
      <c r="F443" s="23" t="n">
        <v>3</v>
      </c>
      <c r="G443" s="24">
        <f>D443*H443</f>
        <v>142.16</v>
      </c>
      <c r="H443" s="25" t="n">
        <v>200</v>
      </c>
    </row>
    <row r="444">
      <c r="A444" s="20" t="inlineStr">
        <is>
          <t>f5f64981-a443-4146-b115-802d8a7c9840</t>
        </is>
      </c>
      <c r="B444" s="4" t="inlineStr">
        <is>
          <t>Elliot Saye</t>
        </is>
      </c>
      <c r="C444" s="6" t="inlineStr">
        <is>
          <t>esaye@umich.edu</t>
        </is>
      </c>
      <c r="D444" s="21" t="n">
        <v>0.7137</v>
      </c>
      <c r="E444" s="22" t="n">
        <v>12.733</v>
      </c>
      <c r="F444" s="23" t="n">
        <v>3</v>
      </c>
      <c r="G444" s="24">
        <f>D444*H444</f>
        <v>142.74</v>
      </c>
      <c r="H444" s="25" t="n">
        <v>200</v>
      </c>
    </row>
    <row r="445">
      <c r="A445" s="20" t="inlineStr">
        <is>
          <t>9c015d96-6f02-4d20-ba3e-d8023558dabb</t>
        </is>
      </c>
      <c r="B445" s="4" t="inlineStr">
        <is>
          <t>Elliot Saye</t>
        </is>
      </c>
      <c r="C445" s="6" t="inlineStr">
        <is>
          <t>esaye@umich.edu</t>
        </is>
      </c>
      <c r="D445" s="21" t="n">
        <v>0.7314000000000001</v>
      </c>
      <c r="E445" s="22" t="n">
        <v>5.968</v>
      </c>
      <c r="F445" s="23" t="n">
        <v>4</v>
      </c>
      <c r="G445" s="24">
        <f>D445*H445</f>
        <v>146.28</v>
      </c>
      <c r="H445" s="25" t="n">
        <v>200</v>
      </c>
    </row>
    <row r="446">
      <c r="A446" s="20" t="inlineStr">
        <is>
          <t>03361656-afd0-4746-81ad-6a3c02947d84</t>
        </is>
      </c>
      <c r="B446" s="4" t="inlineStr">
        <is>
          <t>Elliot Saye</t>
        </is>
      </c>
      <c r="C446" s="6" t="inlineStr">
        <is>
          <t>esaye@umich.edu</t>
        </is>
      </c>
      <c r="D446" s="21" t="n">
        <v>0.7529</v>
      </c>
      <c r="E446" s="22" t="n">
        <v>37.6559</v>
      </c>
      <c r="F446" s="23" t="n">
        <v>8</v>
      </c>
      <c r="G446" s="24">
        <f>D446*H446</f>
        <v>150.58</v>
      </c>
      <c r="H446" s="25" t="n">
        <v>200</v>
      </c>
    </row>
    <row r="447">
      <c r="A447" s="20" t="inlineStr">
        <is>
          <t>50e010e0-e54a-474b-aa7c-c0120425feda</t>
        </is>
      </c>
      <c r="B447" s="4" t="inlineStr">
        <is>
          <t>Elliot Saye</t>
        </is>
      </c>
      <c r="C447" s="6" t="inlineStr">
        <is>
          <t>esaye@umich.edu</t>
        </is>
      </c>
      <c r="D447" s="21" t="n">
        <v>0.7688</v>
      </c>
      <c r="E447" s="22" t="n">
        <v>14.7111</v>
      </c>
      <c r="F447" s="23" t="n">
        <v>5</v>
      </c>
      <c r="G447" s="24">
        <f>D447*H447</f>
        <v>153.76000000000002</v>
      </c>
      <c r="H447" s="25" t="n">
        <v>200</v>
      </c>
    </row>
    <row r="448">
      <c r="A448" s="20" t="inlineStr">
        <is>
          <t>ef08b348-3afd-46fa-97f1-f1028732b61d</t>
        </is>
      </c>
      <c r="B448" s="4" t="inlineStr">
        <is>
          <t>Elliot Saye</t>
        </is>
      </c>
      <c r="C448" s="6" t="inlineStr">
        <is>
          <t>esaye@umich.edu</t>
        </is>
      </c>
      <c r="D448" s="21" t="n">
        <v>0.8135</v>
      </c>
      <c r="E448" s="22" t="n">
        <v>17.4082</v>
      </c>
      <c r="F448" s="23" t="n">
        <v>7</v>
      </c>
      <c r="G448" s="24">
        <f>D448*H448</f>
        <v>162.7</v>
      </c>
      <c r="H448" s="25" t="n">
        <v>200</v>
      </c>
    </row>
    <row r="449">
      <c r="A449" s="20" t="inlineStr">
        <is>
          <t>9e7eabb5-f708-4a7c-9cb4-cdc86b812564</t>
        </is>
      </c>
      <c r="B449" s="4" t="inlineStr">
        <is>
          <t>Elliot Saye</t>
        </is>
      </c>
      <c r="C449" s="6" t="inlineStr">
        <is>
          <t>esaye@umich.edu</t>
        </is>
      </c>
      <c r="D449" s="21" t="n">
        <v>0.8233</v>
      </c>
      <c r="E449" s="22" t="n">
        <v>6.4098</v>
      </c>
      <c r="F449" s="23" t="n">
        <v>4</v>
      </c>
      <c r="G449" s="24">
        <f>D449*H449</f>
        <v>164.66</v>
      </c>
      <c r="H449" s="25" t="n">
        <v>200</v>
      </c>
    </row>
    <row r="450">
      <c r="A450" s="20" t="inlineStr">
        <is>
          <t>3407f5ea-f557-4cd7-b301-54101fc319f7</t>
        </is>
      </c>
      <c r="B450" s="4" t="inlineStr">
        <is>
          <t>Elliot Saye</t>
        </is>
      </c>
      <c r="C450" s="6" t="inlineStr">
        <is>
          <t>esaye@umich.edu</t>
        </is>
      </c>
      <c r="D450" s="21" t="n">
        <v>0.8322000000000001</v>
      </c>
      <c r="E450" s="22" t="n">
        <v>12.605</v>
      </c>
      <c r="F450" s="23" t="n">
        <v>3</v>
      </c>
      <c r="G450" s="24">
        <f>D450*H450</f>
        <v>166.44</v>
      </c>
      <c r="H450" s="25" t="n">
        <v>200</v>
      </c>
    </row>
    <row r="451">
      <c r="A451" s="20" t="inlineStr">
        <is>
          <t>9026e611-4124-4389-83de-56b1fab49f5e</t>
        </is>
      </c>
      <c r="B451" s="4" t="inlineStr">
        <is>
          <t>Elliot Saye</t>
        </is>
      </c>
      <c r="C451" s="6" t="inlineStr">
        <is>
          <t>esaye@umich.edu</t>
        </is>
      </c>
      <c r="D451" s="21" t="n">
        <v>0.8925999999999999</v>
      </c>
      <c r="E451" s="22" t="n">
        <v>5.6268</v>
      </c>
      <c r="F451" s="23" t="n">
        <v>5</v>
      </c>
      <c r="G451" s="24">
        <f>D451*H451</f>
        <v>178.51999999999998</v>
      </c>
      <c r="H451" s="25" t="n">
        <v>200</v>
      </c>
    </row>
    <row r="452">
      <c r="A452" s="20" t="inlineStr">
        <is>
          <t>f90cca65-2e01-4c17-98e5-591dbe6f36ab</t>
        </is>
      </c>
      <c r="B452" s="4" t="inlineStr">
        <is>
          <t>Elliot Saye</t>
        </is>
      </c>
      <c r="C452" s="6" t="inlineStr">
        <is>
          <t>esaye@umich.edu</t>
        </is>
      </c>
      <c r="D452" s="21" t="n">
        <v>0.9658</v>
      </c>
      <c r="E452" s="22" t="n">
        <v>39.8764</v>
      </c>
      <c r="F452" s="23" t="n">
        <v>9</v>
      </c>
      <c r="G452" s="24">
        <f>D452*H452</f>
        <v>193.16</v>
      </c>
      <c r="H452" s="25" t="n">
        <v>200</v>
      </c>
    </row>
    <row r="453">
      <c r="A453" s="20" t="inlineStr">
        <is>
          <t>9afec67f-5f3c-4598-a292-d06dd786e50b</t>
        </is>
      </c>
      <c r="B453" s="4" t="inlineStr">
        <is>
          <t>Elliot Saye</t>
        </is>
      </c>
      <c r="C453" s="6" t="inlineStr">
        <is>
          <t>esaye@umich.edu</t>
        </is>
      </c>
      <c r="D453" s="21" t="n">
        <v>1.064</v>
      </c>
      <c r="E453" s="22" t="n">
        <v>14.9871</v>
      </c>
      <c r="F453" s="23" t="n">
        <v>10</v>
      </c>
      <c r="G453" s="24">
        <f>D453*H453</f>
        <v>212.8</v>
      </c>
      <c r="H453" s="25" t="n">
        <v>200</v>
      </c>
    </row>
    <row r="454">
      <c r="A454" s="20" t="inlineStr">
        <is>
          <t>c1ebd63c-e115-443a-9e6e-cce29ec12415</t>
        </is>
      </c>
      <c r="B454" s="4" t="inlineStr">
        <is>
          <t>Elliot Saye</t>
        </is>
      </c>
      <c r="C454" s="6" t="inlineStr">
        <is>
          <t>esaye@umich.edu</t>
        </is>
      </c>
      <c r="D454" s="21" t="n">
        <v>1.0792</v>
      </c>
      <c r="E454" s="22" t="n">
        <v>13.5461</v>
      </c>
      <c r="F454" s="23" t="n">
        <v>4</v>
      </c>
      <c r="G454" s="24">
        <f>D454*H454</f>
        <v>215.83999999999997</v>
      </c>
      <c r="H454" s="25" t="n">
        <v>200</v>
      </c>
    </row>
    <row r="455">
      <c r="A455" s="20" t="inlineStr">
        <is>
          <t>507af7de-4375-4358-8b26-f4328c66c2db</t>
        </is>
      </c>
      <c r="B455" s="4" t="inlineStr">
        <is>
          <t>Elliot Saye</t>
        </is>
      </c>
      <c r="C455" s="6" t="inlineStr">
        <is>
          <t>esaye@umich.edu</t>
        </is>
      </c>
      <c r="D455" s="21" t="n">
        <v>1.0903</v>
      </c>
      <c r="E455" s="22" t="n">
        <v>12.9564</v>
      </c>
      <c r="F455" s="23" t="n">
        <v>2</v>
      </c>
      <c r="G455" s="24">
        <f>D455*H455</f>
        <v>218.06</v>
      </c>
      <c r="H455" s="25" t="n">
        <v>200</v>
      </c>
    </row>
    <row r="456">
      <c r="A456" s="20" t="inlineStr">
        <is>
          <t>a160b78d-fb3e-4f46-9eb9-32c7b7bc68d9</t>
        </is>
      </c>
      <c r="B456" s="4" t="inlineStr">
        <is>
          <t>Elliot Saye</t>
        </is>
      </c>
      <c r="C456" s="6" t="inlineStr">
        <is>
          <t>esaye@umich.edu</t>
        </is>
      </c>
      <c r="D456" s="21" t="n">
        <v>1.1128</v>
      </c>
      <c r="E456" s="22" t="n">
        <v>26.4835</v>
      </c>
      <c r="F456" s="23" t="n">
        <v>7</v>
      </c>
      <c r="G456" s="24">
        <f>D456*H456</f>
        <v>222.56</v>
      </c>
      <c r="H456" s="25" t="n">
        <v>200</v>
      </c>
    </row>
    <row r="457">
      <c r="A457" s="20" t="inlineStr">
        <is>
          <t>130bfbb3-9ffc-4772-a3ee-120e28889699</t>
        </is>
      </c>
      <c r="B457" s="4" t="inlineStr">
        <is>
          <t>Elliot Saye</t>
        </is>
      </c>
      <c r="C457" s="6" t="inlineStr">
        <is>
          <t>esaye@umich.edu</t>
        </is>
      </c>
      <c r="D457" s="21" t="n">
        <v>1.123</v>
      </c>
      <c r="E457" s="22" t="n">
        <v>12.5524</v>
      </c>
      <c r="F457" s="23" t="n">
        <v>2</v>
      </c>
      <c r="G457" s="24">
        <f>D457*H457</f>
        <v>224.6</v>
      </c>
      <c r="H457" s="25" t="n">
        <v>200</v>
      </c>
    </row>
    <row r="458">
      <c r="A458" s="20" t="inlineStr">
        <is>
          <t>d95bbcde-06f5-4131-a481-195c629be1e4</t>
        </is>
      </c>
      <c r="B458" s="4" t="inlineStr">
        <is>
          <t>Elliot Saye</t>
        </is>
      </c>
      <c r="C458" s="6" t="inlineStr">
        <is>
          <t>esaye@umich.edu</t>
        </is>
      </c>
      <c r="D458" s="21" t="n">
        <v>1.1593</v>
      </c>
      <c r="E458" s="22" t="n">
        <v>12.6717</v>
      </c>
      <c r="F458" s="23" t="n">
        <v>2</v>
      </c>
      <c r="G458" s="24">
        <f>D458*H458</f>
        <v>231.86</v>
      </c>
      <c r="H458" s="25" t="n">
        <v>200</v>
      </c>
    </row>
    <row r="459">
      <c r="A459" s="20" t="inlineStr">
        <is>
          <t>dda6a6ae-8d51-4f1b-b7ab-cd6520f96de7</t>
        </is>
      </c>
      <c r="B459" s="4" t="inlineStr">
        <is>
          <t>Elliot Saye</t>
        </is>
      </c>
      <c r="C459" s="6" t="inlineStr">
        <is>
          <t>esaye@umich.edu</t>
        </is>
      </c>
      <c r="D459" s="21" t="n">
        <v>1.189</v>
      </c>
      <c r="E459" s="22" t="n">
        <v>30.8767</v>
      </c>
      <c r="F459" s="23" t="n">
        <v>8</v>
      </c>
      <c r="G459" s="24">
        <f>D459*H459</f>
        <v>237.8</v>
      </c>
      <c r="H459" s="25" t="n">
        <v>200</v>
      </c>
    </row>
    <row r="460">
      <c r="A460" s="20" t="inlineStr">
        <is>
          <t>638f3062-1d29-48d7-b818-9bb9711ddfc8</t>
        </is>
      </c>
      <c r="B460" s="4" t="inlineStr">
        <is>
          <t>Elliot Saye</t>
        </is>
      </c>
      <c r="C460" s="6" t="inlineStr">
        <is>
          <t>esaye@umich.edu</t>
        </is>
      </c>
      <c r="D460" s="21" t="n">
        <v>1.2499</v>
      </c>
      <c r="E460" s="22" t="n">
        <v>31.7321</v>
      </c>
      <c r="F460" s="23" t="n">
        <v>11</v>
      </c>
      <c r="G460" s="24">
        <f>D460*H460</f>
        <v>249.98</v>
      </c>
      <c r="H460" s="25" t="n">
        <v>200</v>
      </c>
    </row>
    <row r="461">
      <c r="A461" s="20" t="inlineStr">
        <is>
          <t>4615a13d-8d07-48fd-b4df-275538815094</t>
        </is>
      </c>
      <c r="B461" s="4" t="inlineStr">
        <is>
          <t>Elliot Saye</t>
        </is>
      </c>
      <c r="C461" s="6" t="inlineStr">
        <is>
          <t>esaye@umich.edu</t>
        </is>
      </c>
      <c r="D461" s="21" t="n">
        <v>1.2604</v>
      </c>
      <c r="E461" s="22" t="n">
        <v>15.6934</v>
      </c>
      <c r="F461" s="23" t="n">
        <v>6</v>
      </c>
      <c r="G461" s="24">
        <f>D461*H461</f>
        <v>252.07999999999998</v>
      </c>
      <c r="H461" s="25" t="n">
        <v>200</v>
      </c>
    </row>
    <row r="462">
      <c r="A462" s="20" t="inlineStr">
        <is>
          <t>a487244d-54c2-470b-ba6d-f68202c3e47f</t>
        </is>
      </c>
      <c r="B462" s="4" t="inlineStr">
        <is>
          <t>Elliot Saye</t>
        </is>
      </c>
      <c r="C462" s="6" t="inlineStr">
        <is>
          <t>esaye@umich.edu</t>
        </is>
      </c>
      <c r="D462" s="21" t="n">
        <v>1.3076</v>
      </c>
      <c r="E462" s="22" t="n">
        <v>34.9531</v>
      </c>
      <c r="F462" s="23" t="n">
        <v>11</v>
      </c>
      <c r="G462" s="24">
        <f>D462*H462</f>
        <v>261.52000000000004</v>
      </c>
      <c r="H462" s="25" t="n">
        <v>200</v>
      </c>
    </row>
    <row r="463">
      <c r="A463" s="20" t="inlineStr">
        <is>
          <t>a035d79e-be4b-4683-9656-4b176049eefd</t>
        </is>
      </c>
      <c r="B463" s="4" t="inlineStr">
        <is>
          <t>Elliot Saye</t>
        </is>
      </c>
      <c r="C463" s="6" t="inlineStr">
        <is>
          <t>esaye@umich.edu</t>
        </is>
      </c>
      <c r="D463" s="21" t="n">
        <v>1.3971</v>
      </c>
      <c r="E463" s="22" t="n">
        <v>13.7713</v>
      </c>
      <c r="F463" s="23" t="n">
        <v>3</v>
      </c>
      <c r="G463" s="24">
        <f>D463*H463</f>
        <v>279.42</v>
      </c>
      <c r="H463" s="25" t="n">
        <v>200</v>
      </c>
    </row>
    <row r="464">
      <c r="A464" s="20" t="inlineStr">
        <is>
          <t>5b2bfea7-048f-49ab-afb5-b755064bcbea</t>
        </is>
      </c>
      <c r="B464" s="4" t="inlineStr">
        <is>
          <t>Elliot Saye</t>
        </is>
      </c>
      <c r="C464" s="6" t="inlineStr">
        <is>
          <t>esaye@umich.edu</t>
        </is>
      </c>
      <c r="D464" s="21" t="n">
        <v>1.6435</v>
      </c>
      <c r="E464" s="22" t="n">
        <v>11.2791</v>
      </c>
      <c r="F464" s="23" t="n">
        <v>5</v>
      </c>
      <c r="G464" s="24">
        <f>D464*H464</f>
        <v>328.7</v>
      </c>
      <c r="H464" s="25" t="n">
        <v>200</v>
      </c>
    </row>
    <row r="465">
      <c r="A465" s="20" t="inlineStr">
        <is>
          <t>fdfaaf2d-082c-4d91-9229-73475b1734f1</t>
        </is>
      </c>
      <c r="B465" s="4" t="inlineStr">
        <is>
          <t>Elliot Saye</t>
        </is>
      </c>
      <c r="C465" s="6" t="inlineStr">
        <is>
          <t>esaye@umich.edu</t>
        </is>
      </c>
      <c r="D465" s="21" t="n">
        <v>1.7191</v>
      </c>
      <c r="E465" s="22" t="n">
        <v>23.6185</v>
      </c>
      <c r="F465" s="23" t="n">
        <v>5</v>
      </c>
      <c r="G465" s="24">
        <f>D465*H465</f>
        <v>343.82</v>
      </c>
      <c r="H465" s="25" t="n">
        <v>200</v>
      </c>
    </row>
    <row r="466">
      <c r="A466" s="20" t="inlineStr">
        <is>
          <t>37d79958-f7e2-4f55-acdc-24efdfe5cbc1</t>
        </is>
      </c>
      <c r="B466" s="4" t="inlineStr">
        <is>
          <t>Elliot Saye</t>
        </is>
      </c>
      <c r="C466" s="6" t="inlineStr">
        <is>
          <t>esaye@umich.edu</t>
        </is>
      </c>
      <c r="D466" s="21" t="n">
        <v>1.861</v>
      </c>
      <c r="E466" s="22" t="n">
        <v>22.357</v>
      </c>
      <c r="F466" s="23" t="n">
        <v>3</v>
      </c>
      <c r="G466" s="24">
        <f>D466*H466</f>
        <v>372.2</v>
      </c>
      <c r="H466" s="25" t="n">
        <v>200</v>
      </c>
    </row>
    <row r="467">
      <c r="A467" s="20" t="inlineStr">
        <is>
          <t>87bff16b-e21b-4136-abe9-1fa85b4ca6cb</t>
        </is>
      </c>
      <c r="B467" s="4" t="inlineStr">
        <is>
          <t>Elliot Saye</t>
        </is>
      </c>
      <c r="C467" s="6" t="inlineStr">
        <is>
          <t>esaye@umich.edu</t>
        </is>
      </c>
      <c r="D467" s="21" t="n">
        <v>1.9192</v>
      </c>
      <c r="E467" s="22" t="n">
        <v>34.0709</v>
      </c>
      <c r="F467" s="23" t="n">
        <v>5</v>
      </c>
      <c r="G467" s="24">
        <f>D467*H467</f>
        <v>383.84000000000003</v>
      </c>
      <c r="H467" s="25" t="n">
        <v>200</v>
      </c>
    </row>
    <row r="468">
      <c r="A468" s="20" t="inlineStr">
        <is>
          <t>ef5d43d2-53d4-4f5b-8c53-8b673518b47f</t>
        </is>
      </c>
      <c r="B468" s="4" t="inlineStr">
        <is>
          <t>Elliot Saye</t>
        </is>
      </c>
      <c r="C468" s="6" t="inlineStr">
        <is>
          <t>esaye@umich.edu</t>
        </is>
      </c>
      <c r="D468" s="21" t="n">
        <v>1.9378</v>
      </c>
      <c r="E468" s="22" t="n">
        <v>8.238099999999999</v>
      </c>
      <c r="F468" s="23" t="n">
        <v>13</v>
      </c>
      <c r="G468" s="24">
        <f>D468*H468</f>
        <v>387.56</v>
      </c>
      <c r="H468" s="25" t="n">
        <v>200</v>
      </c>
    </row>
    <row r="469">
      <c r="A469" s="20" t="inlineStr">
        <is>
          <t>bb19016f-49a0-4fc3-a012-c569be682d7f</t>
        </is>
      </c>
      <c r="B469" s="4" t="inlineStr">
        <is>
          <t>Elliot Saye</t>
        </is>
      </c>
      <c r="C469" s="6" t="inlineStr">
        <is>
          <t>esaye@umich.edu</t>
        </is>
      </c>
      <c r="D469" s="21" t="n">
        <v>2.0292</v>
      </c>
      <c r="E469" s="22" t="n">
        <v>12.7217</v>
      </c>
      <c r="F469" s="23" t="n">
        <v>3</v>
      </c>
      <c r="G469" s="24">
        <f>D469*H469</f>
        <v>405.84</v>
      </c>
      <c r="H469" s="25" t="n">
        <v>200</v>
      </c>
    </row>
    <row r="470">
      <c r="A470" s="20" t="inlineStr">
        <is>
          <t>0e3864c2-401c-4f3c-937a-8bde95ddfb2e</t>
        </is>
      </c>
      <c r="B470" s="4" t="inlineStr">
        <is>
          <t>Elliot Saye</t>
        </is>
      </c>
      <c r="C470" s="6" t="inlineStr">
        <is>
          <t>esaye@umich.edu</t>
        </is>
      </c>
      <c r="D470" s="21" t="n">
        <v>2.1001</v>
      </c>
      <c r="E470" s="22" t="n">
        <v>20.5996</v>
      </c>
      <c r="F470" s="23" t="n">
        <v>3</v>
      </c>
      <c r="G470" s="24">
        <f>D470*H470</f>
        <v>420.02</v>
      </c>
      <c r="H470" s="25" t="n">
        <v>200</v>
      </c>
    </row>
    <row r="471">
      <c r="A471" s="20" t="inlineStr">
        <is>
          <t>0ecd2526-5cc4-49c2-8fe1-736351408d84</t>
        </is>
      </c>
      <c r="B471" s="4" t="inlineStr">
        <is>
          <t>Elliot Saye</t>
        </is>
      </c>
      <c r="C471" s="6" t="inlineStr">
        <is>
          <t>esaye@umich.edu</t>
        </is>
      </c>
      <c r="D471" s="21" t="n">
        <v>2.4931</v>
      </c>
      <c r="E471" s="22" t="n">
        <v>30.6689</v>
      </c>
      <c r="F471" s="23" t="n">
        <v>8</v>
      </c>
      <c r="G471" s="24">
        <f>D471*H471</f>
        <v>498.62</v>
      </c>
      <c r="H471" s="25" t="n">
        <v>200</v>
      </c>
    </row>
    <row r="472">
      <c r="A472" s="20" t="inlineStr">
        <is>
          <t>5655f1be-49b2-4f52-8747-7dee19727846</t>
        </is>
      </c>
      <c r="B472" s="4" t="inlineStr">
        <is>
          <t>Alex Fey</t>
        </is>
      </c>
      <c r="C472" s="6" t="inlineStr">
        <is>
          <t>alexdf06@gmail.com</t>
        </is>
      </c>
      <c r="D472" s="21" t="n">
        <v>0.006</v>
      </c>
      <c r="E472" s="22" t="n">
        <v>0.0322</v>
      </c>
      <c r="F472" s="23" t="n">
        <v>1</v>
      </c>
      <c r="G472" s="24">
        <f>D472*H472</f>
        <v>1.2</v>
      </c>
      <c r="H472" s="25" t="n">
        <v>200</v>
      </c>
    </row>
    <row r="473">
      <c r="A473" s="20" t="inlineStr">
        <is>
          <t>d7dbf334-1c76-4c45-b836-0c6f7774d091</t>
        </is>
      </c>
      <c r="B473" s="4" t="inlineStr">
        <is>
          <t>Alex Fey</t>
        </is>
      </c>
      <c r="C473" s="6" t="inlineStr">
        <is>
          <t>alexdf06@gmail.com</t>
        </is>
      </c>
      <c r="D473" s="21" t="n">
        <v>0.0184</v>
      </c>
      <c r="E473" s="22" t="n">
        <v>0.0985</v>
      </c>
      <c r="F473" s="23" t="n">
        <v>1</v>
      </c>
      <c r="G473" s="24">
        <f>D473*H473</f>
        <v>3.6799999999999997</v>
      </c>
      <c r="H473" s="25" t="n">
        <v>200</v>
      </c>
    </row>
    <row r="474">
      <c r="A474" s="20" t="inlineStr">
        <is>
          <t>3bed8165-2b70-461f-8163-e32bbdfc1529</t>
        </is>
      </c>
      <c r="B474" s="4" t="inlineStr">
        <is>
          <t>Alex Fey</t>
        </is>
      </c>
      <c r="C474" s="6" t="inlineStr">
        <is>
          <t>alexdf06@gmail.com</t>
        </is>
      </c>
      <c r="D474" s="21" t="n">
        <v>0.0728</v>
      </c>
      <c r="E474" s="22" t="n">
        <v>10.7783</v>
      </c>
      <c r="F474" s="23" t="n">
        <v>2</v>
      </c>
      <c r="G474" s="24">
        <f>D474*H474</f>
        <v>14.56</v>
      </c>
      <c r="H474" s="25" t="n">
        <v>200</v>
      </c>
    </row>
    <row r="475">
      <c r="A475" s="20" t="inlineStr">
        <is>
          <t>9b8311c0-9ff1-47e2-8625-b8eb578c99a4</t>
        </is>
      </c>
      <c r="B475" s="4" t="inlineStr">
        <is>
          <t>Alex Fey</t>
        </is>
      </c>
      <c r="C475" s="6" t="inlineStr">
        <is>
          <t>alexdf06@gmail.com</t>
        </is>
      </c>
      <c r="D475" s="21" t="n">
        <v>0.1136</v>
      </c>
      <c r="E475" s="22" t="n">
        <v>0.2852</v>
      </c>
      <c r="F475" s="23" t="n">
        <v>1</v>
      </c>
      <c r="G475" s="24">
        <f>D475*H475</f>
        <v>22.720000000000002</v>
      </c>
      <c r="H475" s="25" t="n">
        <v>200</v>
      </c>
    </row>
    <row r="476">
      <c r="A476" s="20" t="inlineStr">
        <is>
          <t>e0db6f4d-cb3b-471e-b818-eb21ff172f69</t>
        </is>
      </c>
      <c r="B476" s="4" t="inlineStr">
        <is>
          <t>Alex Fey</t>
        </is>
      </c>
      <c r="C476" s="6" t="inlineStr">
        <is>
          <t>alexdf06@gmail.com</t>
        </is>
      </c>
      <c r="D476" s="21" t="n">
        <v>0.1249</v>
      </c>
      <c r="E476" s="22" t="n">
        <v>0.3135</v>
      </c>
      <c r="F476" s="23" t="n">
        <v>2</v>
      </c>
      <c r="G476" s="24">
        <f>D476*H476</f>
        <v>24.98</v>
      </c>
      <c r="H476" s="25" t="n">
        <v>200</v>
      </c>
    </row>
    <row r="477">
      <c r="A477" s="20" t="inlineStr">
        <is>
          <t>4dfa13c1-e72e-4423-802d-b89aa7947179</t>
        </is>
      </c>
      <c r="B477" s="4" t="inlineStr">
        <is>
          <t>Alex Fey</t>
        </is>
      </c>
      <c r="C477" s="6" t="inlineStr">
        <is>
          <t>alexdf06@gmail.com</t>
        </is>
      </c>
      <c r="D477" s="21" t="n">
        <v>0.1828</v>
      </c>
      <c r="E477" s="22" t="n">
        <v>12.3437</v>
      </c>
      <c r="F477" s="23" t="n">
        <v>3</v>
      </c>
      <c r="G477" s="24">
        <f>D477*H477</f>
        <v>36.559999999999995</v>
      </c>
      <c r="H477" s="25" t="n">
        <v>200</v>
      </c>
    </row>
    <row r="478">
      <c r="A478" s="20" t="inlineStr">
        <is>
          <t>9097ea8b-c2b6-4523-ac66-5f7f8210a7da</t>
        </is>
      </c>
      <c r="B478" s="4" t="inlineStr">
        <is>
          <t>Alex Fey</t>
        </is>
      </c>
      <c r="C478" s="6" t="inlineStr">
        <is>
          <t>alexdf06@gmail.com</t>
        </is>
      </c>
      <c r="D478" s="21" t="n">
        <v>0.2427</v>
      </c>
      <c r="E478" s="22" t="n">
        <v>0.7892</v>
      </c>
      <c r="F478" s="23" t="n">
        <v>3</v>
      </c>
      <c r="G478" s="24">
        <f>D478*H478</f>
        <v>48.54</v>
      </c>
      <c r="H478" s="25" t="n">
        <v>200</v>
      </c>
    </row>
    <row r="479">
      <c r="A479" s="20" t="inlineStr">
        <is>
          <t>a031650d-154d-4ebc-9e68-ad9df5fe2cb7</t>
        </is>
      </c>
      <c r="B479" s="4" t="inlineStr">
        <is>
          <t>Alex Fey</t>
        </is>
      </c>
      <c r="C479" s="6" t="inlineStr">
        <is>
          <t>alexdf06@gmail.com</t>
        </is>
      </c>
      <c r="D479" s="21" t="n">
        <v>0.2981</v>
      </c>
      <c r="E479" s="22" t="n">
        <v>0.9375</v>
      </c>
      <c r="F479" s="23" t="n">
        <v>2</v>
      </c>
      <c r="G479" s="24">
        <f>D479*H479</f>
        <v>59.62</v>
      </c>
      <c r="H479" s="25" t="n">
        <v>200</v>
      </c>
    </row>
    <row r="480">
      <c r="A480" s="20" t="inlineStr">
        <is>
          <t>c5d1506f-53bc-4fd2-89d0-7d50bd118e44</t>
        </is>
      </c>
      <c r="B480" s="4" t="inlineStr">
        <is>
          <t>Alex Fey</t>
        </is>
      </c>
      <c r="C480" s="6" t="inlineStr">
        <is>
          <t>alexdf06@gmail.com</t>
        </is>
      </c>
      <c r="D480" s="21" t="n">
        <v>0.3295</v>
      </c>
      <c r="E480" s="22" t="n">
        <v>1.7674</v>
      </c>
      <c r="F480" s="23" t="n">
        <v>1</v>
      </c>
      <c r="G480" s="24">
        <f>D480*H480</f>
        <v>65.9</v>
      </c>
      <c r="H480" s="25" t="n">
        <v>200</v>
      </c>
    </row>
    <row r="481">
      <c r="A481" s="20" t="inlineStr">
        <is>
          <t>b2d58f4e-087a-4510-a781-d7baa2ae4b03</t>
        </is>
      </c>
      <c r="B481" s="4" t="inlineStr">
        <is>
          <t>Alex Fey</t>
        </is>
      </c>
      <c r="C481" s="6" t="inlineStr">
        <is>
          <t>alexdf06@gmail.com</t>
        </is>
      </c>
      <c r="D481" s="21" t="n">
        <v>0.3622</v>
      </c>
      <c r="E481" s="22" t="n">
        <v>0.9094</v>
      </c>
      <c r="F481" s="23" t="n">
        <v>5</v>
      </c>
      <c r="G481" s="24">
        <f>D481*H481</f>
        <v>72.44</v>
      </c>
      <c r="H481" s="25" t="n">
        <v>200</v>
      </c>
    </row>
    <row r="482">
      <c r="A482" s="20" t="inlineStr">
        <is>
          <t>418590aa-0306-4f9e-8e26-810105a6a885</t>
        </is>
      </c>
      <c r="B482" s="4" t="inlineStr">
        <is>
          <t>Alex Fey</t>
        </is>
      </c>
      <c r="C482" s="6" t="inlineStr">
        <is>
          <t>alexdf06@gmail.com</t>
        </is>
      </c>
      <c r="D482" s="21" t="n">
        <v>0.3625</v>
      </c>
      <c r="E482" s="22" t="n">
        <v>0.91</v>
      </c>
      <c r="F482" s="23" t="n">
        <v>2</v>
      </c>
      <c r="G482" s="24">
        <f>D482*H482</f>
        <v>72.5</v>
      </c>
      <c r="H482" s="25" t="n">
        <v>200</v>
      </c>
    </row>
    <row r="483">
      <c r="A483" s="20" t="inlineStr">
        <is>
          <t>89002f9d-bd0e-40da-85df-425f3d5a0e8b</t>
        </is>
      </c>
      <c r="B483" s="4" t="inlineStr">
        <is>
          <t>Alex Fey</t>
        </is>
      </c>
      <c r="C483" s="6" t="inlineStr">
        <is>
          <t>alexdf06@gmail.com</t>
        </is>
      </c>
      <c r="D483" s="21" t="n">
        <v>0.3718</v>
      </c>
      <c r="E483" s="22" t="n">
        <v>0.3718</v>
      </c>
      <c r="F483" s="23" t="n">
        <v>2</v>
      </c>
      <c r="G483" s="24">
        <f>D483*H483</f>
        <v>74.36</v>
      </c>
      <c r="H483" s="25" t="n">
        <v>200</v>
      </c>
    </row>
    <row r="484">
      <c r="A484" s="20" t="inlineStr">
        <is>
          <t>98d13087-21da-4ec5-a2dc-ecb1ccb29271</t>
        </is>
      </c>
      <c r="B484" s="4" t="inlineStr">
        <is>
          <t>Alex Fey</t>
        </is>
      </c>
      <c r="C484" s="6" t="inlineStr">
        <is>
          <t>alexdf06@gmail.com</t>
        </is>
      </c>
      <c r="D484" s="21" t="n">
        <v>0.4627</v>
      </c>
      <c r="E484" s="22" t="n">
        <v>11.7252</v>
      </c>
      <c r="F484" s="23" t="n">
        <v>5</v>
      </c>
      <c r="G484" s="24">
        <f>D484*H484</f>
        <v>92.54</v>
      </c>
      <c r="H484" s="25" t="n">
        <v>200</v>
      </c>
    </row>
    <row r="485">
      <c r="A485" s="20" t="inlineStr">
        <is>
          <t>c9d0fa60-1755-48a2-ae6d-24cc4ff9edc3</t>
        </is>
      </c>
      <c r="B485" s="4" t="inlineStr">
        <is>
          <t>Alex Fey</t>
        </is>
      </c>
      <c r="C485" s="6" t="inlineStr">
        <is>
          <t>alexdf06@gmail.com</t>
        </is>
      </c>
      <c r="D485" s="21" t="n">
        <v>0.4789</v>
      </c>
      <c r="E485" s="22" t="n">
        <v>3.4645</v>
      </c>
      <c r="F485" s="23" t="n">
        <v>5</v>
      </c>
      <c r="G485" s="24">
        <f>D485*H485</f>
        <v>95.78</v>
      </c>
      <c r="H485" s="25" t="n">
        <v>200</v>
      </c>
    </row>
    <row r="486">
      <c r="A486" s="20" t="inlineStr">
        <is>
          <t>77a59b7f-f246-485f-ab43-3645b70b88c6</t>
        </is>
      </c>
      <c r="B486" s="4" t="inlineStr">
        <is>
          <t>Alex Fey</t>
        </is>
      </c>
      <c r="C486" s="6" t="inlineStr">
        <is>
          <t>alexdf06@gmail.com</t>
        </is>
      </c>
      <c r="D486" s="21" t="n">
        <v>0.4803</v>
      </c>
      <c r="E486" s="22" t="n">
        <v>12.6248</v>
      </c>
      <c r="F486" s="23" t="n">
        <v>3</v>
      </c>
      <c r="G486" s="24">
        <f>D486*H486</f>
        <v>96.06</v>
      </c>
      <c r="H486" s="25" t="n">
        <v>200</v>
      </c>
    </row>
    <row r="487">
      <c r="A487" s="20" t="inlineStr">
        <is>
          <t>bb317258-7437-4ce2-8363-eeb9a67e41aa</t>
        </is>
      </c>
      <c r="B487" s="4" t="inlineStr">
        <is>
          <t>Alex Fey</t>
        </is>
      </c>
      <c r="C487" s="6" t="inlineStr">
        <is>
          <t>alexdf06@gmail.com</t>
        </is>
      </c>
      <c r="D487" s="21" t="n">
        <v>0.5369</v>
      </c>
      <c r="E487" s="22" t="n">
        <v>12.5899</v>
      </c>
      <c r="F487" s="23" t="n">
        <v>3</v>
      </c>
      <c r="G487" s="24">
        <f>D487*H487</f>
        <v>107.38000000000001</v>
      </c>
      <c r="H487" s="25" t="n">
        <v>200</v>
      </c>
    </row>
    <row r="488">
      <c r="A488" s="20" t="inlineStr">
        <is>
          <t>5ae39953-c59e-4249-b277-fcf5d2b37de2</t>
        </is>
      </c>
      <c r="B488" s="4" t="inlineStr">
        <is>
          <t>Alex Fey</t>
        </is>
      </c>
      <c r="C488" s="6" t="inlineStr">
        <is>
          <t>alexdf06@gmail.com</t>
        </is>
      </c>
      <c r="D488" s="21" t="n">
        <v>0.5807</v>
      </c>
      <c r="E488" s="22" t="n">
        <v>1.4577</v>
      </c>
      <c r="F488" s="23" t="n">
        <v>2</v>
      </c>
      <c r="G488" s="24">
        <f>D488*H488</f>
        <v>116.14</v>
      </c>
      <c r="H488" s="25" t="n">
        <v>200</v>
      </c>
    </row>
    <row r="489">
      <c r="A489" s="20" t="inlineStr">
        <is>
          <t>417029d9-4fdd-4204-8eca-6dca895cc32f</t>
        </is>
      </c>
      <c r="B489" s="4" t="inlineStr">
        <is>
          <t>Alex Fey</t>
        </is>
      </c>
      <c r="C489" s="6" t="inlineStr">
        <is>
          <t>alexdf06@gmail.com</t>
        </is>
      </c>
      <c r="D489" s="21" t="n">
        <v>0.5934</v>
      </c>
      <c r="E489" s="22" t="n">
        <v>2.617</v>
      </c>
      <c r="F489" s="23" t="n">
        <v>2</v>
      </c>
      <c r="G489" s="24">
        <f>D489*H489</f>
        <v>118.68</v>
      </c>
      <c r="H489" s="25" t="n">
        <v>200</v>
      </c>
    </row>
    <row r="490">
      <c r="A490" s="20" t="inlineStr">
        <is>
          <t>098c297f-daf9-44ca-923e-f95aed4187eb</t>
        </is>
      </c>
      <c r="B490" s="4" t="inlineStr">
        <is>
          <t>Alex Fey</t>
        </is>
      </c>
      <c r="C490" s="6" t="inlineStr">
        <is>
          <t>alexdf06@gmail.com</t>
        </is>
      </c>
      <c r="D490" s="21" t="n">
        <v>0.604</v>
      </c>
      <c r="E490" s="22" t="n">
        <v>1.5163</v>
      </c>
      <c r="F490" s="23" t="n">
        <v>4</v>
      </c>
      <c r="G490" s="24">
        <f>D490*H490</f>
        <v>120.8</v>
      </c>
      <c r="H490" s="25" t="n">
        <v>200</v>
      </c>
    </row>
    <row r="491">
      <c r="A491" s="20" t="inlineStr">
        <is>
          <t>3480dedc-34cb-4c68-a403-aa960fc6d27a</t>
        </is>
      </c>
      <c r="B491" s="4" t="inlineStr">
        <is>
          <t>Alex Fey</t>
        </is>
      </c>
      <c r="C491" s="6" t="inlineStr">
        <is>
          <t>alexdf06@gmail.com</t>
        </is>
      </c>
      <c r="D491" s="21" t="n">
        <v>0.6454</v>
      </c>
      <c r="E491" s="22" t="n">
        <v>2.739</v>
      </c>
      <c r="F491" s="23" t="n">
        <v>3</v>
      </c>
      <c r="G491" s="24">
        <f>D491*H491</f>
        <v>129.07999999999998</v>
      </c>
      <c r="H491" s="25" t="n">
        <v>200</v>
      </c>
    </row>
    <row r="492">
      <c r="A492" s="20" t="inlineStr">
        <is>
          <t>40024116-ed8f-497f-9638-bf1a0cff1afe</t>
        </is>
      </c>
      <c r="B492" s="4" t="inlineStr">
        <is>
          <t>Alex Fey</t>
        </is>
      </c>
      <c r="C492" s="6" t="inlineStr">
        <is>
          <t>alexdf06@gmail.com</t>
        </is>
      </c>
      <c r="D492" s="21" t="n">
        <v>0.6508</v>
      </c>
      <c r="E492" s="22" t="n">
        <v>1.6338</v>
      </c>
      <c r="F492" s="23" t="n">
        <v>2</v>
      </c>
      <c r="G492" s="24">
        <f>D492*H492</f>
        <v>130.16</v>
      </c>
      <c r="H492" s="25" t="n">
        <v>200</v>
      </c>
    </row>
    <row r="493">
      <c r="A493" s="20" t="inlineStr">
        <is>
          <t>3305068a-6943-4beb-8269-15c3ff9a2c92</t>
        </is>
      </c>
      <c r="B493" s="4" t="inlineStr">
        <is>
          <t>Alex Fey</t>
        </is>
      </c>
      <c r="C493" s="6" t="inlineStr">
        <is>
          <t>alexdf06@gmail.com</t>
        </is>
      </c>
      <c r="D493" s="21" t="n">
        <v>0.6756</v>
      </c>
      <c r="E493" s="22" t="n">
        <v>1.6959</v>
      </c>
      <c r="F493" s="23" t="n">
        <v>3</v>
      </c>
      <c r="G493" s="24">
        <f>D493*H493</f>
        <v>135.12</v>
      </c>
      <c r="H493" s="25" t="n">
        <v>200</v>
      </c>
    </row>
    <row r="494">
      <c r="A494" s="20" t="inlineStr">
        <is>
          <t>daa30725-e158-4d69-93af-c9ff52c9a6f4</t>
        </is>
      </c>
      <c r="B494" s="4" t="inlineStr">
        <is>
          <t>Alex Fey</t>
        </is>
      </c>
      <c r="C494" s="6" t="inlineStr">
        <is>
          <t>alexdf06@gmail.com</t>
        </is>
      </c>
      <c r="D494" s="21" t="n">
        <v>0.8152</v>
      </c>
      <c r="E494" s="22" t="n">
        <v>24</v>
      </c>
      <c r="F494" s="23" t="n">
        <v>2</v>
      </c>
      <c r="G494" s="24">
        <f>D494*H494</f>
        <v>163.04000000000002</v>
      </c>
      <c r="H494" s="25" t="n">
        <v>200</v>
      </c>
    </row>
    <row r="495">
      <c r="A495" s="20" t="inlineStr">
        <is>
          <t>6e51323c-0dc0-4f6d-8444-3e44feac7c67</t>
        </is>
      </c>
      <c r="B495" s="4" t="inlineStr">
        <is>
          <t>Alex Fey</t>
        </is>
      </c>
      <c r="C495" s="6" t="inlineStr">
        <is>
          <t>alexdf06@gmail.com</t>
        </is>
      </c>
      <c r="D495" s="21" t="n">
        <v>0.9782</v>
      </c>
      <c r="E495" s="22" t="n">
        <v>6.9562</v>
      </c>
      <c r="F495" s="23" t="n">
        <v>6</v>
      </c>
      <c r="G495" s="24">
        <f>D495*H495</f>
        <v>195.64</v>
      </c>
      <c r="H495" s="25" t="n">
        <v>200</v>
      </c>
    </row>
    <row r="496">
      <c r="A496" s="20" t="inlineStr">
        <is>
          <t>87a4f157-4821-4e63-ad41-d8c3d1a372b6</t>
        </is>
      </c>
      <c r="B496" s="4" t="inlineStr">
        <is>
          <t>Alex Fey</t>
        </is>
      </c>
      <c r="C496" s="6" t="inlineStr">
        <is>
          <t>alexdf06@gmail.com</t>
        </is>
      </c>
      <c r="D496" s="21" t="n">
        <v>1.0836</v>
      </c>
      <c r="E496" s="22" t="n">
        <v>4.1555</v>
      </c>
      <c r="F496" s="23" t="n">
        <v>6</v>
      </c>
      <c r="G496" s="24">
        <f>D496*H496</f>
        <v>216.71999999999997</v>
      </c>
      <c r="H496" s="25" t="n">
        <v>200</v>
      </c>
    </row>
    <row r="497">
      <c r="A497" s="20" t="inlineStr">
        <is>
          <t>a8a781f9-5795-44ed-bb6e-858b7b34b50f</t>
        </is>
      </c>
      <c r="B497" s="4" t="inlineStr">
        <is>
          <t>Alex Fey</t>
        </is>
      </c>
      <c r="C497" s="6" t="inlineStr">
        <is>
          <t>alexdf06@gmail.com</t>
        </is>
      </c>
      <c r="D497" s="21" t="n">
        <v>1.0955</v>
      </c>
      <c r="E497" s="22" t="n">
        <v>36.3323</v>
      </c>
      <c r="F497" s="23" t="n">
        <v>5</v>
      </c>
      <c r="G497" s="24">
        <f>D497*H497</f>
        <v>219.1</v>
      </c>
      <c r="H497" s="25" t="n">
        <v>200</v>
      </c>
    </row>
    <row r="498">
      <c r="A498" s="20" t="inlineStr">
        <is>
          <t>46f5725f-a7c1-4777-a48d-ced95cc15fce</t>
        </is>
      </c>
      <c r="B498" s="4" t="inlineStr">
        <is>
          <t>Alex Fey</t>
        </is>
      </c>
      <c r="C498" s="6" t="inlineStr">
        <is>
          <t>alexdf06@gmail.com</t>
        </is>
      </c>
      <c r="D498" s="21" t="n">
        <v>1.1142</v>
      </c>
      <c r="E498" s="22" t="n">
        <v>26.3673</v>
      </c>
      <c r="F498" s="23" t="n">
        <v>9</v>
      </c>
      <c r="G498" s="24">
        <f>D498*H498</f>
        <v>222.84</v>
      </c>
      <c r="H498" s="25" t="n">
        <v>200</v>
      </c>
    </row>
    <row r="499">
      <c r="A499" s="20" t="inlineStr">
        <is>
          <t>cef471a3-44cf-4fb8-9574-e3279e2d8663</t>
        </is>
      </c>
      <c r="B499" s="4" t="inlineStr">
        <is>
          <t>Alex Fey</t>
        </is>
      </c>
      <c r="C499" s="6" t="inlineStr">
        <is>
          <t>alexdf06@gmail.com</t>
        </is>
      </c>
      <c r="D499" s="21" t="n">
        <v>1.1279</v>
      </c>
      <c r="E499" s="22" t="n">
        <v>18.4943</v>
      </c>
      <c r="F499" s="23" t="n">
        <v>4</v>
      </c>
      <c r="G499" s="24">
        <f>D499*H499</f>
        <v>225.57999999999998</v>
      </c>
      <c r="H499" s="25" t="n">
        <v>200</v>
      </c>
    </row>
    <row r="500">
      <c r="A500" s="20" t="inlineStr">
        <is>
          <t>c1908655-00ef-4b52-b773-6744e663385e</t>
        </is>
      </c>
      <c r="B500" s="4" t="inlineStr">
        <is>
          <t>Alex Fey</t>
        </is>
      </c>
      <c r="C500" s="6" t="inlineStr">
        <is>
          <t>alexdf06@gmail.com</t>
        </is>
      </c>
      <c r="D500" s="21" t="n">
        <v>1.8008</v>
      </c>
      <c r="E500" s="22" t="n">
        <v>19.2197</v>
      </c>
      <c r="F500" s="23" t="n">
        <v>5</v>
      </c>
      <c r="G500" s="24">
        <f>D500*H500</f>
        <v>360.15999999999997</v>
      </c>
      <c r="H500" s="25" t="n">
        <v>200</v>
      </c>
    </row>
    <row r="501">
      <c r="A501" s="20" t="inlineStr">
        <is>
          <t>70587408-d1a9-498e-af58-37cf95b4798c</t>
        </is>
      </c>
      <c r="B501" s="4" t="inlineStr">
        <is>
          <t>Alex Fey</t>
        </is>
      </c>
      <c r="C501" s="6" t="inlineStr">
        <is>
          <t>alexdf06@gmail.com</t>
        </is>
      </c>
      <c r="D501" s="21" t="n">
        <v>2.8442</v>
      </c>
      <c r="E501" s="22" t="n">
        <v>20.2253</v>
      </c>
      <c r="F501" s="23" t="n">
        <v>2</v>
      </c>
      <c r="G501" s="24">
        <f>D501*H501</f>
        <v>568.8399999999999</v>
      </c>
      <c r="H501" s="25" t="n">
        <v>200</v>
      </c>
    </row>
    <row r="502">
      <c r="A502" s="20" t="inlineStr">
        <is>
          <t>9002a814-8028-4f3c-9555-47fb7df94656</t>
        </is>
      </c>
      <c r="B502" s="4" t="inlineStr">
        <is>
          <t>Johnny Tran</t>
        </is>
      </c>
      <c r="C502" s="6" t="inlineStr">
        <is>
          <t>jtran1123@gmail.com</t>
        </is>
      </c>
      <c r="D502" s="21" t="n">
        <v>0.1099</v>
      </c>
      <c r="E502" s="22" t="n">
        <v>0.4271</v>
      </c>
      <c r="F502" s="23" t="n">
        <v>1</v>
      </c>
      <c r="G502" s="24">
        <f>D502*H502</f>
        <v>16.485</v>
      </c>
      <c r="H502" s="25" t="n">
        <v>150</v>
      </c>
    </row>
    <row r="503">
      <c r="A503" s="20" t="inlineStr">
        <is>
          <t>b41da325-57ba-4b97-bb9d-ccef964fc70a</t>
        </is>
      </c>
      <c r="B503" s="4" t="inlineStr">
        <is>
          <t>Johnny Tran</t>
        </is>
      </c>
      <c r="C503" s="6" t="inlineStr">
        <is>
          <t>jtran1123@gmail.com</t>
        </is>
      </c>
      <c r="D503" s="21" t="n">
        <v>0.1138</v>
      </c>
      <c r="E503" s="22" t="n">
        <v>0.4421</v>
      </c>
      <c r="F503" s="23" t="n">
        <v>1</v>
      </c>
      <c r="G503" s="24">
        <f>D503*H503</f>
        <v>17.07</v>
      </c>
      <c r="H503" s="25" t="n">
        <v>150</v>
      </c>
    </row>
    <row r="504">
      <c r="A504" s="20" t="inlineStr">
        <is>
          <t>b58ea84e-43a8-47ed-8e90-f8dde15d3750</t>
        </is>
      </c>
      <c r="B504" s="4" t="inlineStr">
        <is>
          <t>Johnny Tran</t>
        </is>
      </c>
      <c r="C504" s="6" t="inlineStr">
        <is>
          <t>jtran1123@gmail.com</t>
        </is>
      </c>
      <c r="D504" s="21" t="n">
        <v>0.1569</v>
      </c>
      <c r="E504" s="22" t="n">
        <v>19.7923</v>
      </c>
      <c r="F504" s="23" t="n">
        <v>6</v>
      </c>
      <c r="G504" s="24">
        <f>D504*H504</f>
        <v>23.535</v>
      </c>
      <c r="H504" s="25" t="n">
        <v>150</v>
      </c>
    </row>
    <row r="505">
      <c r="A505" s="20" t="inlineStr">
        <is>
          <t>68f0a104-1ff1-40e3-be6f-609b552d35c7</t>
        </is>
      </c>
      <c r="B505" s="4" t="inlineStr">
        <is>
          <t>Johnny Tran</t>
        </is>
      </c>
      <c r="C505" s="6" t="inlineStr">
        <is>
          <t>jtran1123@gmail.com</t>
        </is>
      </c>
      <c r="D505" s="21" t="n">
        <v>0.1629</v>
      </c>
      <c r="E505" s="22" t="n">
        <v>12.5452</v>
      </c>
      <c r="F505" s="23" t="n">
        <v>3</v>
      </c>
      <c r="G505" s="24">
        <f>D505*H505</f>
        <v>24.435</v>
      </c>
      <c r="H505" s="25" t="n">
        <v>150</v>
      </c>
    </row>
    <row r="506">
      <c r="A506" s="20" t="inlineStr">
        <is>
          <t>a1d4e6dd-af07-41a7-95d4-9af737a13c3f</t>
        </is>
      </c>
      <c r="B506" s="4" t="inlineStr">
        <is>
          <t>Johnny Tran</t>
        </is>
      </c>
      <c r="C506" s="6" t="inlineStr">
        <is>
          <t>jtran1123@gmail.com</t>
        </is>
      </c>
      <c r="D506" s="21" t="n">
        <v>0.1967</v>
      </c>
      <c r="E506" s="22" t="n">
        <v>0.5662</v>
      </c>
      <c r="F506" s="23" t="n">
        <v>1</v>
      </c>
      <c r="G506" s="24">
        <f>D506*H506</f>
        <v>29.505000000000003</v>
      </c>
      <c r="H506" s="25" t="n">
        <v>150</v>
      </c>
    </row>
    <row r="507">
      <c r="A507" s="20" t="inlineStr">
        <is>
          <t>18c6469d-d441-427e-bb2f-1a9a472406dd</t>
        </is>
      </c>
      <c r="B507" s="4" t="inlineStr">
        <is>
          <t>Johnny Tran</t>
        </is>
      </c>
      <c r="C507" s="6" t="inlineStr">
        <is>
          <t>jtran1123@gmail.com</t>
        </is>
      </c>
      <c r="D507" s="21" t="n">
        <v>0.4471</v>
      </c>
      <c r="E507" s="22" t="n">
        <v>1.2867</v>
      </c>
      <c r="F507" s="23" t="n">
        <v>2</v>
      </c>
      <c r="G507" s="24">
        <f>D507*H507</f>
        <v>67.065</v>
      </c>
      <c r="H507" s="25" t="n">
        <v>150</v>
      </c>
    </row>
    <row r="508">
      <c r="A508" s="20" t="inlineStr">
        <is>
          <t>00dedeb1-5d6f-4f63-afee-75d6b9aa4b69</t>
        </is>
      </c>
      <c r="B508" s="4" t="inlineStr">
        <is>
          <t>Johnny Tran</t>
        </is>
      </c>
      <c r="C508" s="6" t="inlineStr">
        <is>
          <t>jtran1123@gmail.com</t>
        </is>
      </c>
      <c r="D508" s="21" t="n">
        <v>0.4708</v>
      </c>
      <c r="E508" s="22" t="n">
        <v>5.1734</v>
      </c>
      <c r="F508" s="23" t="n">
        <v>3</v>
      </c>
      <c r="G508" s="24">
        <f>D508*H508</f>
        <v>70.62</v>
      </c>
      <c r="H508" s="25" t="n">
        <v>150</v>
      </c>
    </row>
    <row r="509">
      <c r="A509" s="20" t="inlineStr">
        <is>
          <t>5b390a5b-abce-4ca6-99a8-6117c528068b</t>
        </is>
      </c>
      <c r="B509" s="4" t="inlineStr">
        <is>
          <t>Johnny Tran</t>
        </is>
      </c>
      <c r="C509" s="6" t="inlineStr">
        <is>
          <t>jtran1123@gmail.com</t>
        </is>
      </c>
      <c r="D509" s="21" t="n">
        <v>0.5131</v>
      </c>
      <c r="E509" s="22" t="n">
        <v>1.9934</v>
      </c>
      <c r="F509" s="23" t="n">
        <v>2</v>
      </c>
      <c r="G509" s="24">
        <f>D509*H509</f>
        <v>76.965</v>
      </c>
      <c r="H509" s="25" t="n">
        <v>150</v>
      </c>
    </row>
    <row r="510">
      <c r="A510" s="20" t="inlineStr">
        <is>
          <t>4df1da66-b648-41f1-b92f-95b0ff1b32b3</t>
        </is>
      </c>
      <c r="B510" s="4" t="inlineStr">
        <is>
          <t>Johnny Tran</t>
        </is>
      </c>
      <c r="C510" s="6" t="inlineStr">
        <is>
          <t>jtran1123@gmail.com</t>
        </is>
      </c>
      <c r="D510" s="21" t="n">
        <v>0.5492</v>
      </c>
      <c r="E510" s="22" t="n">
        <v>13.1145</v>
      </c>
      <c r="F510" s="23" t="n">
        <v>4</v>
      </c>
      <c r="G510" s="24">
        <f>D510*H510</f>
        <v>82.38000000000001</v>
      </c>
      <c r="H510" s="25" t="n">
        <v>150</v>
      </c>
    </row>
    <row r="511">
      <c r="A511" s="20" t="inlineStr">
        <is>
          <t>6330cda9-8153-4ebc-a0f9-2f00ccc30285</t>
        </is>
      </c>
      <c r="B511" s="4" t="inlineStr">
        <is>
          <t>Johnny Tran</t>
        </is>
      </c>
      <c r="C511" s="6" t="inlineStr">
        <is>
          <t>jtran1123@gmail.com</t>
        </is>
      </c>
      <c r="D511" s="21" t="n">
        <v>0.6588000000000001</v>
      </c>
      <c r="E511" s="22" t="n"/>
      <c r="F511" s="23" t="n"/>
      <c r="G511" s="24">
        <f>D511*H511</f>
      </c>
      <c r="H511" s="25" t="n">
        <v>150</v>
      </c>
    </row>
    <row r="512">
      <c r="A512" s="20" t="inlineStr">
        <is>
          <t>845b9c88-b682-4a76-af33-63df5ea95ba5</t>
        </is>
      </c>
      <c r="B512" s="4" t="inlineStr">
        <is>
          <t>Johnny Tran</t>
        </is>
      </c>
      <c r="C512" s="6" t="inlineStr">
        <is>
          <t>jtran1123@gmail.com</t>
        </is>
      </c>
      <c r="D512" s="21" t="n">
        <v>0.7999000000000001</v>
      </c>
      <c r="E512" s="22" t="n">
        <v>20.6203</v>
      </c>
      <c r="F512" s="23" t="n">
        <v>4</v>
      </c>
      <c r="G512" s="24">
        <f>D512*H512</f>
        <v>119.98500000000001</v>
      </c>
      <c r="H512" s="25" t="n">
        <v>150</v>
      </c>
    </row>
    <row r="513">
      <c r="A513" s="20" t="inlineStr">
        <is>
          <t>3f41d631-8fa7-4279-b19d-1b4ab89a59f1</t>
        </is>
      </c>
      <c r="B513" s="4" t="inlineStr">
        <is>
          <t>Johnny Tran</t>
        </is>
      </c>
      <c r="C513" s="6" t="inlineStr">
        <is>
          <t>jtran1123@gmail.com</t>
        </is>
      </c>
      <c r="D513" s="21" t="n">
        <v>1.1195</v>
      </c>
      <c r="E513" s="22" t="n">
        <v>7.9506</v>
      </c>
      <c r="F513" s="23" t="n">
        <v>3</v>
      </c>
      <c r="G513" s="24">
        <f>D513*H513</f>
        <v>167.92499999999998</v>
      </c>
      <c r="H513" s="25" t="n">
        <v>150</v>
      </c>
    </row>
    <row r="514">
      <c r="A514" s="20" t="inlineStr">
        <is>
          <t>a0043af6-68da-4d6d-9867-cfff41005168</t>
        </is>
      </c>
      <c r="B514" s="4" t="inlineStr">
        <is>
          <t>Johnny Tran</t>
        </is>
      </c>
      <c r="C514" s="6" t="inlineStr">
        <is>
          <t>jtran1123@gmail.com</t>
        </is>
      </c>
      <c r="D514" s="21" t="n">
        <v>1.2148</v>
      </c>
      <c r="E514" s="22" t="n">
        <v>24</v>
      </c>
      <c r="F514" s="23" t="n">
        <v>2</v>
      </c>
      <c r="G514" s="24">
        <f>D514*H514</f>
        <v>182.22000000000003</v>
      </c>
      <c r="H514" s="25" t="n">
        <v>150</v>
      </c>
    </row>
    <row r="515">
      <c r="A515" s="20" t="inlineStr">
        <is>
          <t>35008ca3-b1e2-4c32-8358-d8baa2232eab</t>
        </is>
      </c>
      <c r="B515" s="4" t="inlineStr">
        <is>
          <t>Johnny Tran</t>
        </is>
      </c>
      <c r="C515" s="6" t="inlineStr">
        <is>
          <t>jtran1123@gmail.com</t>
        </is>
      </c>
      <c r="D515" s="21" t="n">
        <v>1.5088</v>
      </c>
      <c r="E515" s="22" t="n">
        <v>12.6693</v>
      </c>
      <c r="F515" s="23" t="n">
        <v>2</v>
      </c>
      <c r="G515" s="24">
        <f>D515*H515</f>
        <v>226.32</v>
      </c>
      <c r="H515" s="25" t="n">
        <v>150</v>
      </c>
    </row>
    <row r="516">
      <c r="A516" s="20" t="inlineStr">
        <is>
          <t>712f5c60-dce4-444b-949f-e930814c93f4</t>
        </is>
      </c>
      <c r="B516" s="4" t="inlineStr">
        <is>
          <t>Johnny Tran</t>
        </is>
      </c>
      <c r="C516" s="6" t="inlineStr">
        <is>
          <t>jtran1123@gmail.com</t>
        </is>
      </c>
      <c r="D516" s="21" t="n">
        <v>1.9891</v>
      </c>
      <c r="E516" s="22" t="n">
        <v>18.0597</v>
      </c>
      <c r="F516" s="23" t="n">
        <v>3</v>
      </c>
      <c r="G516" s="24">
        <f>D516*H516</f>
        <v>298.365</v>
      </c>
      <c r="H516" s="25" t="n">
        <v>150</v>
      </c>
    </row>
    <row r="517">
      <c r="A517" s="20" t="inlineStr">
        <is>
          <t>fe3b6f82-d540-45a7-b666-b6a803ce5931</t>
        </is>
      </c>
      <c r="B517" s="4" t="inlineStr">
        <is>
          <t>Johnny Tran</t>
        </is>
      </c>
      <c r="C517" s="6" t="inlineStr">
        <is>
          <t>jtran1123@gmail.com</t>
        </is>
      </c>
      <c r="D517" s="21" t="n">
        <v>2.9107</v>
      </c>
      <c r="E517" s="22" t="n">
        <v>28.7754</v>
      </c>
      <c r="F517" s="23" t="n">
        <v>8</v>
      </c>
      <c r="G517" s="24">
        <f>D517*H517</f>
        <v>436.60499999999996</v>
      </c>
      <c r="H517" s="25" t="n">
        <v>150</v>
      </c>
    </row>
    <row r="518">
      <c r="A518" s="20" t="inlineStr">
        <is>
          <t>9bdd3b09-5f56-42be-9254-be72e353faa6</t>
        </is>
      </c>
      <c r="B518" s="4" t="inlineStr">
        <is>
          <t>Johnny Tran</t>
        </is>
      </c>
      <c r="C518" s="6" t="inlineStr">
        <is>
          <t>jtran1123@gmail.com</t>
        </is>
      </c>
      <c r="D518" s="21" t="n">
        <v>5.1805</v>
      </c>
      <c r="E518" s="22" t="n">
        <v>30.0881</v>
      </c>
      <c r="F518" s="23" t="n">
        <v>4</v>
      </c>
      <c r="G518" s="24">
        <f>D518*H518</f>
        <v>777.075</v>
      </c>
      <c r="H518" s="25" t="n">
        <v>150</v>
      </c>
    </row>
    <row r="519">
      <c r="A519" s="20" t="inlineStr">
        <is>
          <t>e28f77f9-4a5b-4d16-86ff-44c2b58df944</t>
        </is>
      </c>
      <c r="B519" s="4" t="inlineStr">
        <is>
          <t>David Hua</t>
        </is>
      </c>
      <c r="C519" s="6" t="inlineStr">
        <is>
          <t>davidhua25@gmail.com</t>
        </is>
      </c>
      <c r="D519" s="21" t="n">
        <v>0.0108</v>
      </c>
      <c r="E519" s="22" t="n">
        <v>0.0257</v>
      </c>
      <c r="F519" s="23" t="n">
        <v>1</v>
      </c>
      <c r="G519" s="24">
        <f>D519*H519</f>
        <v>2.16</v>
      </c>
      <c r="H519" s="25" t="n">
        <v>200</v>
      </c>
    </row>
    <row r="520">
      <c r="A520" s="20" t="inlineStr">
        <is>
          <t>135c6a37-e980-4faf-8c36-4e6b8490b76d</t>
        </is>
      </c>
      <c r="B520" s="4" t="inlineStr">
        <is>
          <t>David Hua</t>
        </is>
      </c>
      <c r="C520" s="6" t="inlineStr">
        <is>
          <t>davidhua25@gmail.com</t>
        </is>
      </c>
      <c r="D520" s="21" t="n">
        <v>0.0247</v>
      </c>
      <c r="E520" s="22" t="n">
        <v>2.3787</v>
      </c>
      <c r="F520" s="23" t="n">
        <v>1</v>
      </c>
      <c r="G520" s="24">
        <f>D520*H520</f>
        <v>4.9399999999999995</v>
      </c>
      <c r="H520" s="25" t="n">
        <v>200</v>
      </c>
    </row>
    <row r="521">
      <c r="A521" s="20" t="inlineStr">
        <is>
          <t>5c3d9dbd-1eec-44d8-9afc-55ba0c65d2ad</t>
        </is>
      </c>
      <c r="B521" s="4" t="inlineStr">
        <is>
          <t>David Hua</t>
        </is>
      </c>
      <c r="C521" s="6" t="inlineStr">
        <is>
          <t>davidhua25@gmail.com</t>
        </is>
      </c>
      <c r="D521" s="21" t="n">
        <v>0.0314</v>
      </c>
      <c r="E521" s="22" t="n">
        <v>2.5122</v>
      </c>
      <c r="F521" s="23" t="n">
        <v>2</v>
      </c>
      <c r="G521" s="24">
        <f>D521*H521</f>
        <v>6.279999999999999</v>
      </c>
      <c r="H521" s="25" t="n">
        <v>200</v>
      </c>
    </row>
    <row r="522">
      <c r="A522" s="20" t="inlineStr">
        <is>
          <t>2413083f-71b8-442a-bf3a-1a0d469833d0</t>
        </is>
      </c>
      <c r="B522" s="4" t="inlineStr">
        <is>
          <t>David Hua</t>
        </is>
      </c>
      <c r="C522" s="6" t="inlineStr">
        <is>
          <t>davidhua25@gmail.com</t>
        </is>
      </c>
      <c r="D522" s="21" t="n">
        <v>0.0345</v>
      </c>
      <c r="E522" s="22" t="n">
        <v>2.5757</v>
      </c>
      <c r="F522" s="23" t="n">
        <v>2</v>
      </c>
      <c r="G522" s="24">
        <f>D522*H522</f>
        <v>6.9</v>
      </c>
      <c r="H522" s="25" t="n">
        <v>200</v>
      </c>
    </row>
    <row r="523">
      <c r="A523" s="20" t="inlineStr">
        <is>
          <t>c0f3469c-a3da-4e9b-9510-ec40d2611ce5</t>
        </is>
      </c>
      <c r="B523" s="4" t="inlineStr">
        <is>
          <t>David Hua</t>
        </is>
      </c>
      <c r="C523" s="6" t="inlineStr">
        <is>
          <t>davidhua25@gmail.com</t>
        </is>
      </c>
      <c r="D523" s="21" t="n">
        <v>0.054</v>
      </c>
      <c r="E523" s="22" t="n">
        <v>0.07729999999999999</v>
      </c>
      <c r="F523" s="23" t="n">
        <v>1</v>
      </c>
      <c r="G523" s="24">
        <f>D523*H523</f>
        <v>10.8</v>
      </c>
      <c r="H523" s="25" t="n">
        <v>200</v>
      </c>
    </row>
    <row r="524">
      <c r="A524" s="20" t="inlineStr">
        <is>
          <t>4fc74ead-a441-4dd5-a379-8be0aacf7aef</t>
        </is>
      </c>
      <c r="B524" s="4" t="inlineStr">
        <is>
          <t>David Hua</t>
        </is>
      </c>
      <c r="C524" s="6" t="inlineStr">
        <is>
          <t>davidhua25@gmail.com</t>
        </is>
      </c>
      <c r="D524" s="21" t="n">
        <v>0.0673</v>
      </c>
      <c r="E524" s="22" t="n">
        <v>4.1664</v>
      </c>
      <c r="F524" s="23" t="n">
        <v>3</v>
      </c>
      <c r="G524" s="24">
        <f>D524*H524</f>
        <v>13.459999999999999</v>
      </c>
      <c r="H524" s="25" t="n">
        <v>200</v>
      </c>
    </row>
    <row r="525">
      <c r="A525" s="20" t="inlineStr">
        <is>
          <t>d41edd20-27d0-4c04-b1f1-3ddee4e6be17</t>
        </is>
      </c>
      <c r="B525" s="4" t="inlineStr">
        <is>
          <t>David Hua</t>
        </is>
      </c>
      <c r="C525" s="6" t="inlineStr">
        <is>
          <t>davidhua25@gmail.com</t>
        </is>
      </c>
      <c r="D525" s="21" t="n">
        <v>0.0693</v>
      </c>
      <c r="E525" s="22" t="n">
        <v>4.1695</v>
      </c>
      <c r="F525" s="23" t="n">
        <v>2</v>
      </c>
      <c r="G525" s="24">
        <f>D525*H525</f>
        <v>13.86</v>
      </c>
      <c r="H525" s="25" t="n">
        <v>200</v>
      </c>
    </row>
    <row r="526">
      <c r="A526" s="20" t="inlineStr">
        <is>
          <t>13c39e03-f6a8-4fd1-a8ea-ca95c8324842</t>
        </is>
      </c>
      <c r="B526" s="4" t="inlineStr">
        <is>
          <t>David Hua</t>
        </is>
      </c>
      <c r="C526" s="6" t="inlineStr">
        <is>
          <t>davidhua25@gmail.com</t>
        </is>
      </c>
      <c r="D526" s="21" t="n">
        <v>0.0717</v>
      </c>
      <c r="E526" s="22" t="n">
        <v>0.1028</v>
      </c>
      <c r="F526" s="23" t="n">
        <v>1</v>
      </c>
      <c r="G526" s="24">
        <f>D526*H526</f>
        <v>14.34</v>
      </c>
      <c r="H526" s="25" t="n">
        <v>200</v>
      </c>
    </row>
    <row r="527">
      <c r="A527" s="20" t="inlineStr">
        <is>
          <t>a1fb077e-c09f-4977-bbb2-e89d6c95a460</t>
        </is>
      </c>
      <c r="B527" s="4" t="inlineStr">
        <is>
          <t>David Hua</t>
        </is>
      </c>
      <c r="C527" s="6" t="inlineStr">
        <is>
          <t>davidhua25@gmail.com</t>
        </is>
      </c>
      <c r="D527" s="21" t="n">
        <v>0.1008</v>
      </c>
      <c r="E527" s="22" t="n">
        <v>4.3197</v>
      </c>
      <c r="F527" s="23" t="n">
        <v>4</v>
      </c>
      <c r="G527" s="24">
        <f>D527*H527</f>
        <v>20.16</v>
      </c>
      <c r="H527" s="25" t="n">
        <v>200</v>
      </c>
    </row>
    <row r="528">
      <c r="A528" s="20" t="inlineStr">
        <is>
          <t>0d998b1c-162d-48c8-9ee5-432c9760d2a8</t>
        </is>
      </c>
      <c r="B528" s="4" t="inlineStr">
        <is>
          <t>David Hua</t>
        </is>
      </c>
      <c r="C528" s="6" t="inlineStr">
        <is>
          <t>davidhua25@gmail.com</t>
        </is>
      </c>
      <c r="D528" s="21" t="n">
        <v>0.1145</v>
      </c>
      <c r="E528" s="22" t="n">
        <v>4.7734</v>
      </c>
      <c r="F528" s="23" t="n">
        <v>2</v>
      </c>
      <c r="G528" s="24">
        <f>D528*H528</f>
        <v>22.900000000000002</v>
      </c>
      <c r="H528" s="25" t="n">
        <v>200</v>
      </c>
    </row>
    <row r="529">
      <c r="A529" s="20" t="inlineStr">
        <is>
          <t>7d508740-02e4-40fd-b08e-5950dfa88964</t>
        </is>
      </c>
      <c r="B529" s="4" t="inlineStr">
        <is>
          <t>David Hua</t>
        </is>
      </c>
      <c r="C529" s="6" t="inlineStr">
        <is>
          <t>davidhua25@gmail.com</t>
        </is>
      </c>
      <c r="D529" s="21" t="n">
        <v>0.1164</v>
      </c>
      <c r="E529" s="22" t="n">
        <v>4.6147</v>
      </c>
      <c r="F529" s="23" t="n">
        <v>3</v>
      </c>
      <c r="G529" s="24">
        <f>D529*H529</f>
        <v>23.28</v>
      </c>
      <c r="H529" s="25" t="n">
        <v>200</v>
      </c>
    </row>
    <row r="530">
      <c r="A530" s="20" t="inlineStr">
        <is>
          <t>557d4d99-f856-4211-80e9-83669b83ca0d</t>
        </is>
      </c>
      <c r="B530" s="4" t="inlineStr">
        <is>
          <t>David Hua</t>
        </is>
      </c>
      <c r="C530" s="6" t="inlineStr">
        <is>
          <t>davidhua25@gmail.com</t>
        </is>
      </c>
      <c r="D530" s="21" t="n">
        <v>0.2056</v>
      </c>
      <c r="E530" s="22" t="n">
        <v>7.1863</v>
      </c>
      <c r="F530" s="23" t="n">
        <v>5</v>
      </c>
      <c r="G530" s="24">
        <f>D530*H530</f>
        <v>41.120000000000005</v>
      </c>
      <c r="H530" s="25" t="n">
        <v>200</v>
      </c>
    </row>
    <row r="531">
      <c r="A531" s="20" t="inlineStr">
        <is>
          <t>1740afa0-4250-46da-897f-c260af238d57</t>
        </is>
      </c>
      <c r="B531" s="4" t="inlineStr">
        <is>
          <t>David Hua</t>
        </is>
      </c>
      <c r="C531" s="6" t="inlineStr">
        <is>
          <t>davidhua25@gmail.com</t>
        </is>
      </c>
      <c r="D531" s="21" t="n">
        <v>0.2091</v>
      </c>
      <c r="E531" s="22" t="n">
        <v>7.3046</v>
      </c>
      <c r="F531" s="23" t="n">
        <v>4</v>
      </c>
      <c r="G531" s="24">
        <f>D531*H531</f>
        <v>41.82</v>
      </c>
      <c r="H531" s="25" t="n">
        <v>200</v>
      </c>
    </row>
    <row r="532">
      <c r="A532" s="20" t="inlineStr">
        <is>
          <t>3c3fedc4-419a-4873-8d3f-38bee264cdcd</t>
        </is>
      </c>
      <c r="B532" s="4" t="inlineStr">
        <is>
          <t>David Hua</t>
        </is>
      </c>
      <c r="C532" s="6" t="inlineStr">
        <is>
          <t>davidhua25@gmail.com</t>
        </is>
      </c>
      <c r="D532" s="21" t="n">
        <v>0.2605</v>
      </c>
      <c r="E532" s="22" t="n">
        <v>12.2476</v>
      </c>
      <c r="F532" s="23" t="n">
        <v>3</v>
      </c>
      <c r="G532" s="24">
        <f>D532*H532</f>
        <v>52.1</v>
      </c>
      <c r="H532" s="25" t="n">
        <v>200</v>
      </c>
    </row>
    <row r="533">
      <c r="A533" s="20" t="inlineStr">
        <is>
          <t>122bdf18-8f9b-4dc6-b8d7-12d1d74b5e16</t>
        </is>
      </c>
      <c r="B533" s="4" t="inlineStr">
        <is>
          <t>David Hua</t>
        </is>
      </c>
      <c r="C533" s="6" t="inlineStr">
        <is>
          <t>davidhua25@gmail.com</t>
        </is>
      </c>
      <c r="D533" s="21" t="n">
        <v>0.2884</v>
      </c>
      <c r="E533" s="22" t="n">
        <v>19.1888</v>
      </c>
      <c r="F533" s="23" t="n">
        <v>4</v>
      </c>
      <c r="G533" s="24">
        <f>D533*H533</f>
        <v>57.68</v>
      </c>
      <c r="H533" s="25" t="n">
        <v>200</v>
      </c>
    </row>
    <row r="534">
      <c r="A534" s="20" t="inlineStr">
        <is>
          <t>6b861a70-3966-47c9-be22-5cc9093d21a0</t>
        </is>
      </c>
      <c r="B534" s="4" t="inlineStr">
        <is>
          <t>David Hua</t>
        </is>
      </c>
      <c r="C534" s="6" t="inlineStr">
        <is>
          <t>davidhua25@gmail.com</t>
        </is>
      </c>
      <c r="D534" s="21" t="n">
        <v>0.3498</v>
      </c>
      <c r="E534" s="22" t="n">
        <v>16.7221</v>
      </c>
      <c r="F534" s="23" t="n">
        <v>3</v>
      </c>
      <c r="G534" s="24">
        <f>D534*H534</f>
        <v>69.96</v>
      </c>
      <c r="H534" s="25" t="n">
        <v>200</v>
      </c>
    </row>
    <row r="535">
      <c r="A535" s="20" t="inlineStr">
        <is>
          <t>8bb22956-0720-4812-aeb3-665b4b43e423</t>
        </is>
      </c>
      <c r="B535" s="4" t="inlineStr">
        <is>
          <t>David Hua</t>
        </is>
      </c>
      <c r="C535" s="6" t="inlineStr">
        <is>
          <t>davidhua25@gmail.com</t>
        </is>
      </c>
      <c r="D535" s="21" t="n">
        <v>0.3615</v>
      </c>
      <c r="E535" s="22" t="n">
        <v>12.445</v>
      </c>
      <c r="F535" s="23" t="n">
        <v>4</v>
      </c>
      <c r="G535" s="24">
        <f>D535*H535</f>
        <v>72.3</v>
      </c>
      <c r="H535" s="25" t="n">
        <v>200</v>
      </c>
    </row>
    <row r="536">
      <c r="A536" s="20" t="inlineStr">
        <is>
          <t>b218bae9-002d-47ab-90ee-1f5ba97a3231</t>
        </is>
      </c>
      <c r="B536" s="4" t="inlineStr">
        <is>
          <t>David Hua</t>
        </is>
      </c>
      <c r="C536" s="6" t="inlineStr">
        <is>
          <t>davidhua25@gmail.com</t>
        </is>
      </c>
      <c r="D536" s="21" t="n">
        <v>0.3731</v>
      </c>
      <c r="E536" s="22" t="n">
        <v>12.1182</v>
      </c>
      <c r="F536" s="23" t="n">
        <v>2</v>
      </c>
      <c r="G536" s="24">
        <f>D536*H536</f>
        <v>74.62</v>
      </c>
      <c r="H536" s="25" t="n">
        <v>200</v>
      </c>
    </row>
    <row r="537">
      <c r="A537" s="20" t="inlineStr">
        <is>
          <t>739633f3-bd05-449b-8677-5c990a071056</t>
        </is>
      </c>
      <c r="B537" s="4" t="inlineStr">
        <is>
          <t>David Hua</t>
        </is>
      </c>
      <c r="C537" s="6" t="inlineStr">
        <is>
          <t>davidhua25@gmail.com</t>
        </is>
      </c>
      <c r="D537" s="21" t="n">
        <v>0.3968</v>
      </c>
      <c r="E537" s="22" t="n">
        <v>12.0656</v>
      </c>
      <c r="F537" s="23" t="n">
        <v>3</v>
      </c>
      <c r="G537" s="24">
        <f>D537*H537</f>
        <v>79.36</v>
      </c>
      <c r="H537" s="25" t="n">
        <v>200</v>
      </c>
    </row>
    <row r="538">
      <c r="A538" s="20" t="inlineStr">
        <is>
          <t>fe23dea3-9d27-4a42-8be9-20a9a6c4f11d</t>
        </is>
      </c>
      <c r="B538" s="4" t="inlineStr">
        <is>
          <t>David Hua</t>
        </is>
      </c>
      <c r="C538" s="6" t="inlineStr">
        <is>
          <t>davidhua25@gmail.com</t>
        </is>
      </c>
      <c r="D538" s="21" t="n">
        <v>0.5342</v>
      </c>
      <c r="E538" s="22" t="n">
        <v>19.4829</v>
      </c>
      <c r="F538" s="23" t="n">
        <v>5</v>
      </c>
      <c r="G538" s="24">
        <f>D538*H538</f>
        <v>106.84</v>
      </c>
      <c r="H538" s="25" t="n">
        <v>200</v>
      </c>
    </row>
    <row r="539">
      <c r="A539" s="20" t="inlineStr">
        <is>
          <t>1c375669-d4f9-44b1-ba24-04b028813876</t>
        </is>
      </c>
      <c r="B539" s="4" t="inlineStr">
        <is>
          <t>David Hua</t>
        </is>
      </c>
      <c r="C539" s="6" t="inlineStr">
        <is>
          <t>davidhua25@gmail.com</t>
        </is>
      </c>
      <c r="D539" s="21" t="n">
        <v>0.5631</v>
      </c>
      <c r="E539" s="22" t="n">
        <v>12</v>
      </c>
      <c r="F539" s="23" t="n">
        <v>1</v>
      </c>
      <c r="G539" s="24">
        <f>D539*H539</f>
        <v>112.62</v>
      </c>
      <c r="H539" s="25" t="n">
        <v>200</v>
      </c>
    </row>
    <row r="540">
      <c r="A540" s="20" t="inlineStr">
        <is>
          <t>8634a3e7-864c-44a0-924c-851b030114bf</t>
        </is>
      </c>
      <c r="B540" s="4" t="inlineStr">
        <is>
          <t>David Hua</t>
        </is>
      </c>
      <c r="C540" s="6" t="inlineStr">
        <is>
          <t>davidhua25@gmail.com</t>
        </is>
      </c>
      <c r="D540" s="21" t="n">
        <v>0.5664</v>
      </c>
      <c r="E540" s="22" t="n">
        <v>12.1444</v>
      </c>
      <c r="F540" s="23" t="n">
        <v>2</v>
      </c>
      <c r="G540" s="24">
        <f>D540*H540</f>
        <v>113.28</v>
      </c>
      <c r="H540" s="25" t="n">
        <v>200</v>
      </c>
    </row>
    <row r="541">
      <c r="A541" s="20" t="inlineStr">
        <is>
          <t>949521c1-cacd-4d7c-bb30-32ae9f862d77</t>
        </is>
      </c>
      <c r="B541" s="4" t="inlineStr">
        <is>
          <t>David Hua</t>
        </is>
      </c>
      <c r="C541" s="6" t="inlineStr">
        <is>
          <t>davidhua25@gmail.com</t>
        </is>
      </c>
      <c r="D541" s="21" t="n">
        <v>0.6727</v>
      </c>
      <c r="E541" s="22" t="n">
        <v>14.7064</v>
      </c>
      <c r="F541" s="23" t="n">
        <v>8</v>
      </c>
      <c r="G541" s="24">
        <f>D541*H541</f>
        <v>134.54</v>
      </c>
      <c r="H541" s="25" t="n">
        <v>200</v>
      </c>
    </row>
    <row r="542">
      <c r="A542" s="20" t="inlineStr">
        <is>
          <t>6825ace6-e7d6-4743-8b8a-cf9932b99230</t>
        </is>
      </c>
      <c r="B542" s="4" t="inlineStr">
        <is>
          <t>David Hua</t>
        </is>
      </c>
      <c r="C542" s="6" t="inlineStr">
        <is>
          <t>davidhua25@gmail.com</t>
        </is>
      </c>
      <c r="D542" s="21" t="n">
        <v>0.7087</v>
      </c>
      <c r="E542" s="22" t="n">
        <v>14.4676</v>
      </c>
      <c r="F542" s="23" t="n">
        <v>8</v>
      </c>
      <c r="G542" s="24">
        <f>D542*H542</f>
        <v>141.74</v>
      </c>
      <c r="H542" s="25" t="n">
        <v>200</v>
      </c>
    </row>
    <row r="543">
      <c r="A543" s="20" t="inlineStr">
        <is>
          <t>72bf2ae4-c6f1-4f11-a191-459daf4b9743</t>
        </is>
      </c>
      <c r="B543" s="4" t="inlineStr">
        <is>
          <t>David Hua</t>
        </is>
      </c>
      <c r="C543" s="6" t="inlineStr">
        <is>
          <t>davidhua25@gmail.com</t>
        </is>
      </c>
      <c r="D543" s="21" t="n">
        <v>0.7124</v>
      </c>
      <c r="E543" s="22" t="n">
        <v>10.2657</v>
      </c>
      <c r="F543" s="23" t="n">
        <v>1</v>
      </c>
      <c r="G543" s="24">
        <f>D543*H543</f>
        <v>142.48000000000002</v>
      </c>
      <c r="H543" s="25" t="n">
        <v>200</v>
      </c>
    </row>
    <row r="544">
      <c r="A544" s="20" t="inlineStr">
        <is>
          <t>b8228930-cfe6-4cfc-96d8-71c8d2802704</t>
        </is>
      </c>
      <c r="B544" s="4" t="inlineStr">
        <is>
          <t>David Hua</t>
        </is>
      </c>
      <c r="C544" s="6" t="inlineStr">
        <is>
          <t>davidhua25@gmail.com</t>
        </is>
      </c>
      <c r="D544" s="21" t="n">
        <v>0.7543</v>
      </c>
      <c r="E544" s="22" t="n">
        <v>17.2647</v>
      </c>
      <c r="F544" s="23" t="n">
        <v>4</v>
      </c>
      <c r="G544" s="24">
        <f>D544*H544</f>
        <v>150.85999999999999</v>
      </c>
      <c r="H544" s="25" t="n">
        <v>200</v>
      </c>
    </row>
    <row r="545">
      <c r="A545" s="20" t="inlineStr">
        <is>
          <t>0ff35d7f-3907-448b-a61f-8be30cf24034</t>
        </is>
      </c>
      <c r="B545" s="4" t="inlineStr">
        <is>
          <t>David Hua</t>
        </is>
      </c>
      <c r="C545" s="6" t="inlineStr">
        <is>
          <t>davidhua25@gmail.com</t>
        </is>
      </c>
      <c r="D545" s="21" t="n">
        <v>0.7566000000000001</v>
      </c>
      <c r="E545" s="22" t="n">
        <v>14.6408</v>
      </c>
      <c r="F545" s="23" t="n">
        <v>5</v>
      </c>
      <c r="G545" s="24">
        <f>D545*H545</f>
        <v>151.32000000000002</v>
      </c>
      <c r="H545" s="25" t="n">
        <v>200</v>
      </c>
    </row>
    <row r="546">
      <c r="A546" s="20" t="inlineStr">
        <is>
          <t>3188cf94-462e-4635-bc76-1418923fb010</t>
        </is>
      </c>
      <c r="B546" s="4" t="inlineStr">
        <is>
          <t>David Hua</t>
        </is>
      </c>
      <c r="C546" s="6" t="inlineStr">
        <is>
          <t>davidhua25@gmail.com</t>
        </is>
      </c>
      <c r="D546" s="21" t="n">
        <v>0.8269</v>
      </c>
      <c r="E546" s="22" t="n">
        <v>17.2559</v>
      </c>
      <c r="F546" s="23" t="n">
        <v>5</v>
      </c>
      <c r="G546" s="24">
        <f>D546*H546</f>
        <v>165.38</v>
      </c>
      <c r="H546" s="25" t="n">
        <v>200</v>
      </c>
    </row>
    <row r="547">
      <c r="A547" s="20" t="inlineStr">
        <is>
          <t>e304bb37-7dab-4aad-97ff-c1853745cfb4</t>
        </is>
      </c>
      <c r="B547" s="4" t="inlineStr">
        <is>
          <t>David Hua</t>
        </is>
      </c>
      <c r="C547" s="6" t="inlineStr">
        <is>
          <t>davidhua25@gmail.com</t>
        </is>
      </c>
      <c r="D547" s="21" t="n">
        <v>0.899</v>
      </c>
      <c r="E547" s="22" t="n">
        <v>17.4836</v>
      </c>
      <c r="F547" s="23" t="n">
        <v>3</v>
      </c>
      <c r="G547" s="24">
        <f>D547*H547</f>
        <v>179.8</v>
      </c>
      <c r="H547" s="25" t="n">
        <v>200</v>
      </c>
    </row>
    <row r="548">
      <c r="A548" s="20" t="inlineStr">
        <is>
          <t>a599cc3e-9d14-4d4d-9e1a-917f3fae513c</t>
        </is>
      </c>
      <c r="B548" s="4" t="inlineStr">
        <is>
          <t>David Hua</t>
        </is>
      </c>
      <c r="C548" s="6" t="inlineStr">
        <is>
          <t>davidhua25@gmail.com</t>
        </is>
      </c>
      <c r="D548" s="21" t="n">
        <v>0.908</v>
      </c>
      <c r="E548" s="22" t="n">
        <v>7.3457</v>
      </c>
      <c r="F548" s="23" t="n">
        <v>4</v>
      </c>
      <c r="G548" s="24">
        <f>D548*H548</f>
        <v>181.6</v>
      </c>
      <c r="H548" s="25" t="n">
        <v>200</v>
      </c>
    </row>
    <row r="549">
      <c r="A549" s="20" t="inlineStr">
        <is>
          <t>dfed398e-06f4-4374-8496-783630975b03</t>
        </is>
      </c>
      <c r="B549" s="4" t="inlineStr">
        <is>
          <t>David Hua</t>
        </is>
      </c>
      <c r="C549" s="6" t="inlineStr">
        <is>
          <t>davidhua25@gmail.com</t>
        </is>
      </c>
      <c r="D549" s="21" t="n">
        <v>0.9284</v>
      </c>
      <c r="E549" s="22" t="n">
        <v>13.4535</v>
      </c>
      <c r="F549" s="23" t="n">
        <v>4</v>
      </c>
      <c r="G549" s="24">
        <f>D549*H549</f>
        <v>185.68</v>
      </c>
      <c r="H549" s="25" t="n">
        <v>200</v>
      </c>
    </row>
    <row r="550">
      <c r="A550" s="20" t="inlineStr">
        <is>
          <t>71f8da37-4084-4fd2-b51c-5b01787788c7</t>
        </is>
      </c>
      <c r="B550" s="4" t="inlineStr">
        <is>
          <t>David Hua</t>
        </is>
      </c>
      <c r="C550" s="6" t="inlineStr">
        <is>
          <t>davidhua25@gmail.com</t>
        </is>
      </c>
      <c r="D550" s="21" t="n">
        <v>0.9572000000000001</v>
      </c>
      <c r="E550" s="22" t="n">
        <v>23.8221</v>
      </c>
      <c r="F550" s="23" t="n">
        <v>3</v>
      </c>
      <c r="G550" s="24">
        <f>D550*H550</f>
        <v>191.44</v>
      </c>
      <c r="H550" s="25" t="n">
        <v>200</v>
      </c>
    </row>
    <row r="551">
      <c r="A551" s="20" t="inlineStr">
        <is>
          <t>f41216f2-3936-44d0-88ab-383db0cfe809</t>
        </is>
      </c>
      <c r="B551" s="4" t="inlineStr">
        <is>
          <t>David Hua</t>
        </is>
      </c>
      <c r="C551" s="6" t="inlineStr">
        <is>
          <t>davidhua25@gmail.com</t>
        </is>
      </c>
      <c r="D551" s="21" t="n">
        <v>1.0628</v>
      </c>
      <c r="E551" s="22" t="n">
        <v>23.0526</v>
      </c>
      <c r="F551" s="23" t="n">
        <v>2</v>
      </c>
      <c r="G551" s="24">
        <f>D551*H551</f>
        <v>212.56</v>
      </c>
      <c r="H551" s="25" t="n">
        <v>200</v>
      </c>
    </row>
    <row r="552">
      <c r="A552" s="20" t="inlineStr">
        <is>
          <t>298dd6d3-cb62-44b3-b285-d72a28392ff5</t>
        </is>
      </c>
      <c r="B552" s="4" t="inlineStr">
        <is>
          <t>David Hua</t>
        </is>
      </c>
      <c r="C552" s="6" t="inlineStr">
        <is>
          <t>davidhua25@gmail.com</t>
        </is>
      </c>
      <c r="D552" s="21" t="n">
        <v>1.0684</v>
      </c>
      <c r="E552" s="22" t="n">
        <v>23.0085</v>
      </c>
      <c r="F552" s="23" t="n">
        <v>2</v>
      </c>
      <c r="G552" s="24">
        <f>D552*H552</f>
        <v>213.68</v>
      </c>
      <c r="H552" s="25" t="n">
        <v>200</v>
      </c>
    </row>
    <row r="553">
      <c r="A553" s="20" t="inlineStr">
        <is>
          <t>44b1ebf9-42cd-45b4-9800-4f98f9b4ceca</t>
        </is>
      </c>
      <c r="B553" s="4" t="inlineStr">
        <is>
          <t>David Hua</t>
        </is>
      </c>
      <c r="C553" s="6" t="inlineStr">
        <is>
          <t>davidhua25@gmail.com</t>
        </is>
      </c>
      <c r="D553" s="21" t="n">
        <v>1.0741</v>
      </c>
      <c r="E553" s="22" t="n">
        <v>23.1452</v>
      </c>
      <c r="F553" s="23" t="n">
        <v>3</v>
      </c>
      <c r="G553" s="24">
        <f>D553*H553</f>
        <v>214.82000000000002</v>
      </c>
      <c r="H553" s="25" t="n">
        <v>200</v>
      </c>
    </row>
    <row r="554">
      <c r="A554" s="20" t="inlineStr">
        <is>
          <t>19c02f1f-2934-48e0-ab61-ee3e3da7c74f</t>
        </is>
      </c>
      <c r="B554" s="4" t="inlineStr">
        <is>
          <t>David Hua</t>
        </is>
      </c>
      <c r="C554" s="6" t="inlineStr">
        <is>
          <t>davidhua25@gmail.com</t>
        </is>
      </c>
      <c r="D554" s="21" t="n">
        <v>1.1009</v>
      </c>
      <c r="E554" s="22" t="n">
        <v>23.07</v>
      </c>
      <c r="F554" s="23" t="n">
        <v>2</v>
      </c>
      <c r="G554" s="24">
        <f>D554*H554</f>
        <v>220.18</v>
      </c>
      <c r="H554" s="25" t="n">
        <v>200</v>
      </c>
    </row>
    <row r="555">
      <c r="A555" s="20" t="inlineStr">
        <is>
          <t>f9e58059-707f-4808-befa-695080470e89</t>
        </is>
      </c>
      <c r="B555" s="4" t="inlineStr">
        <is>
          <t>David Hua</t>
        </is>
      </c>
      <c r="C555" s="6" t="inlineStr">
        <is>
          <t>davidhua25@gmail.com</t>
        </is>
      </c>
      <c r="D555" s="21" t="n">
        <v>1.4409</v>
      </c>
      <c r="E555" s="22" t="n">
        <v>13.0261</v>
      </c>
      <c r="F555" s="23" t="n">
        <v>4</v>
      </c>
      <c r="G555" s="24">
        <f>D555*H555</f>
        <v>288.18</v>
      </c>
      <c r="H555" s="25" t="n">
        <v>200</v>
      </c>
    </row>
    <row r="556">
      <c r="A556" s="20" t="inlineStr">
        <is>
          <t>baf80f7b-aaef-4c5d-96cb-297b81055036</t>
        </is>
      </c>
      <c r="B556" s="4" t="inlineStr">
        <is>
          <t>David Hua</t>
        </is>
      </c>
      <c r="C556" s="6" t="inlineStr">
        <is>
          <t>davidhua25@gmail.com</t>
        </is>
      </c>
      <c r="D556" s="21" t="n">
        <v>1.4927</v>
      </c>
      <c r="E556" s="22" t="n">
        <v>17.8041</v>
      </c>
      <c r="F556" s="23" t="n">
        <v>7</v>
      </c>
      <c r="G556" s="24">
        <f>D556*H556</f>
        <v>298.53999999999996</v>
      </c>
      <c r="H556" s="25" t="n">
        <v>200</v>
      </c>
    </row>
    <row r="557">
      <c r="A557" s="20" t="inlineStr">
        <is>
          <t>0de1c518-4508-4f76-aa8a-c74dd295bbe5</t>
        </is>
      </c>
      <c r="B557" s="4" t="inlineStr">
        <is>
          <t>David Hua</t>
        </is>
      </c>
      <c r="C557" s="6" t="inlineStr">
        <is>
          <t>davidhua25@gmail.com</t>
        </is>
      </c>
      <c r="D557" s="21" t="n">
        <v>1.6998</v>
      </c>
      <c r="E557" s="22" t="n">
        <v>28.7218</v>
      </c>
      <c r="F557" s="23" t="n">
        <v>6</v>
      </c>
      <c r="G557" s="24">
        <f>D557*H557</f>
        <v>339.96</v>
      </c>
      <c r="H557" s="25" t="n">
        <v>200</v>
      </c>
    </row>
    <row r="558">
      <c r="A558" s="20" t="inlineStr">
        <is>
          <t>7f4978fa-3b8c-428f-b5c7-8bd037268185</t>
        </is>
      </c>
      <c r="B558" s="4" t="inlineStr">
        <is>
          <t>David Hua</t>
        </is>
      </c>
      <c r="C558" s="6" t="inlineStr">
        <is>
          <t>davidhua25@gmail.com</t>
        </is>
      </c>
      <c r="D558" s="21" t="n">
        <v>1.7113</v>
      </c>
      <c r="E558" s="22" t="n">
        <v>25.0251</v>
      </c>
      <c r="F558" s="23" t="n">
        <v>10</v>
      </c>
      <c r="G558" s="24">
        <f>D558*H558</f>
        <v>342.26</v>
      </c>
      <c r="H558" s="25" t="n">
        <v>200</v>
      </c>
    </row>
    <row r="559">
      <c r="A559" s="20" t="inlineStr">
        <is>
          <t>a2242584-3903-427d-b6df-717af64599b7</t>
        </is>
      </c>
      <c r="B559" s="4" t="inlineStr">
        <is>
          <t>David Hua</t>
        </is>
      </c>
      <c r="C559" s="6" t="inlineStr">
        <is>
          <t>davidhua25@gmail.com</t>
        </is>
      </c>
      <c r="D559" s="21" t="n">
        <v>5.8046</v>
      </c>
      <c r="E559" s="22" t="n">
        <v>51.6569</v>
      </c>
      <c r="F559" s="23" t="n">
        <v>15</v>
      </c>
      <c r="G559" s="24">
        <f>D559*H559</f>
        <v>1160.9199999999998</v>
      </c>
      <c r="H559" s="25" t="n">
        <v>200</v>
      </c>
    </row>
    <row r="560">
      <c r="A560" s="20" t="inlineStr">
        <is>
          <t>53577c0b-331a-4bba-86b8-9025e2dc5cdc</t>
        </is>
      </c>
      <c r="B560" s="4" t="inlineStr">
        <is>
          <t>David Hua</t>
        </is>
      </c>
      <c r="C560" s="6" t="inlineStr">
        <is>
          <t>davidhua25@gmail.com</t>
        </is>
      </c>
      <c r="D560" s="21" t="n">
        <v>7.8666</v>
      </c>
      <c r="E560" s="22" t="n">
        <v>35.498</v>
      </c>
      <c r="F560" s="23" t="n">
        <v>6</v>
      </c>
      <c r="G560" s="24">
        <f>D560*H560</f>
        <v>1573.32</v>
      </c>
      <c r="H560" s="25" t="n">
        <v>200</v>
      </c>
    </row>
    <row r="561">
      <c r="A561" s="20" t="inlineStr">
        <is>
          <t>1f335c3a-c451-4801-a821-4a7837ae051c</t>
        </is>
      </c>
      <c r="B561" s="4" t="inlineStr">
        <is>
          <t>Siddhant Kumbhat</t>
        </is>
      </c>
      <c r="C561" s="6" t="inlineStr">
        <is>
          <t>sidkumbhat92@gmail.com</t>
        </is>
      </c>
      <c r="D561" s="21" t="n">
        <v>0.07630000000000001</v>
      </c>
      <c r="E561" s="22" t="n">
        <v>1.0912</v>
      </c>
      <c r="F561" s="23" t="n">
        <v>1</v>
      </c>
      <c r="G561" s="24">
        <f>D561*H561</f>
        <v>11.445</v>
      </c>
      <c r="H561" s="25" t="n">
        <v>150</v>
      </c>
    </row>
    <row r="562">
      <c r="A562" s="20" t="inlineStr">
        <is>
          <t>310eb396-9378-4815-90fc-02902de2c1a6</t>
        </is>
      </c>
      <c r="B562" s="4" t="inlineStr">
        <is>
          <t>Siddhant Kumbhat</t>
        </is>
      </c>
      <c r="C562" s="6" t="inlineStr">
        <is>
          <t>sidkumbhat92@gmail.com</t>
        </is>
      </c>
      <c r="D562" s="21" t="n">
        <v>0.079</v>
      </c>
      <c r="E562" s="22" t="n">
        <v>1.0273</v>
      </c>
      <c r="F562" s="23" t="n">
        <v>1</v>
      </c>
      <c r="G562" s="24">
        <f>D562*H562</f>
        <v>11.85</v>
      </c>
      <c r="H562" s="25" t="n">
        <v>150</v>
      </c>
    </row>
    <row r="563">
      <c r="A563" s="20" t="inlineStr">
        <is>
          <t>27c9225f-4c1c-4ef9-94dd-5add16def02f</t>
        </is>
      </c>
      <c r="B563" s="4" t="inlineStr">
        <is>
          <t>Siddhant Kumbhat</t>
        </is>
      </c>
      <c r="C563" s="6" t="inlineStr">
        <is>
          <t>sidkumbhat92@gmail.com</t>
        </is>
      </c>
      <c r="D563" s="21" t="n">
        <v>0.0827</v>
      </c>
      <c r="E563" s="22" t="n">
        <v>4.484</v>
      </c>
      <c r="F563" s="23" t="n">
        <v>2</v>
      </c>
      <c r="G563" s="24">
        <f>D563*H563</f>
        <v>12.405</v>
      </c>
      <c r="H563" s="25" t="n">
        <v>150</v>
      </c>
    </row>
    <row r="564">
      <c r="A564" s="20" t="inlineStr">
        <is>
          <t>3e7ba009-d563-454e-8627-70da55777698</t>
        </is>
      </c>
      <c r="B564" s="4" t="inlineStr">
        <is>
          <t>Siddhant Kumbhat</t>
        </is>
      </c>
      <c r="C564" s="6" t="inlineStr">
        <is>
          <t>sidkumbhat92@gmail.com</t>
        </is>
      </c>
      <c r="D564" s="21" t="n">
        <v>0.0958</v>
      </c>
      <c r="E564" s="22" t="n">
        <v>13.6865</v>
      </c>
      <c r="F564" s="23" t="n">
        <v>3</v>
      </c>
      <c r="G564" s="24">
        <f>D564*H564</f>
        <v>14.37</v>
      </c>
      <c r="H564" s="25" t="n">
        <v>150</v>
      </c>
    </row>
    <row r="565">
      <c r="A565" s="20" t="inlineStr">
        <is>
          <t>e91acb3c-cc1b-4c08-a56c-f35357843ad3</t>
        </is>
      </c>
      <c r="B565" s="4" t="inlineStr">
        <is>
          <t>Siddhant Kumbhat</t>
        </is>
      </c>
      <c r="C565" s="6" t="inlineStr">
        <is>
          <t>sidkumbhat92@gmail.com</t>
        </is>
      </c>
      <c r="D565" s="21" t="n">
        <v>0.0999</v>
      </c>
      <c r="E565" s="22" t="n">
        <v>1.024</v>
      </c>
      <c r="F565" s="23" t="n">
        <v>1</v>
      </c>
      <c r="G565" s="24">
        <f>D565*H565</f>
        <v>14.985000000000001</v>
      </c>
      <c r="H565" s="25" t="n">
        <v>150</v>
      </c>
    </row>
    <row r="566">
      <c r="A566" s="20" t="inlineStr">
        <is>
          <t>e69a963a-69d3-421f-a08e-9b825983c4b1</t>
        </is>
      </c>
      <c r="B566" s="4" t="inlineStr">
        <is>
          <t>Siddhant Kumbhat</t>
        </is>
      </c>
      <c r="C566" s="6" t="inlineStr">
        <is>
          <t>sidkumbhat92@gmail.com</t>
        </is>
      </c>
      <c r="D566" s="21" t="n">
        <v>0.1149</v>
      </c>
      <c r="E566" s="22" t="n">
        <v>1.2056</v>
      </c>
      <c r="F566" s="23" t="n">
        <v>1</v>
      </c>
      <c r="G566" s="24">
        <f>D566*H566</f>
        <v>17.235</v>
      </c>
      <c r="H566" s="25" t="n">
        <v>150</v>
      </c>
    </row>
    <row r="567">
      <c r="A567" s="20" t="inlineStr">
        <is>
          <t>f8869f87-abd5-4114-a7f5-410e5b7b4591</t>
        </is>
      </c>
      <c r="B567" s="4" t="inlineStr">
        <is>
          <t>Siddhant Kumbhat</t>
        </is>
      </c>
      <c r="C567" s="6" t="inlineStr">
        <is>
          <t>sidkumbhat92@gmail.com</t>
        </is>
      </c>
      <c r="D567" s="21" t="n">
        <v>0.1152</v>
      </c>
      <c r="E567" s="22" t="n">
        <v>1.2241</v>
      </c>
      <c r="F567" s="23" t="n">
        <v>1</v>
      </c>
      <c r="G567" s="24">
        <f>D567*H567</f>
        <v>17.28</v>
      </c>
      <c r="H567" s="25" t="n">
        <v>150</v>
      </c>
    </row>
    <row r="568">
      <c r="A568" s="20" t="inlineStr">
        <is>
          <t>f26687f3-4642-4217-ac20-eadca851d411</t>
        </is>
      </c>
      <c r="B568" s="4" t="inlineStr">
        <is>
          <t>Siddhant Kumbhat</t>
        </is>
      </c>
      <c r="C568" s="6" t="inlineStr">
        <is>
          <t>sidkumbhat92@gmail.com</t>
        </is>
      </c>
      <c r="D568" s="21" t="n">
        <v>0.1411</v>
      </c>
      <c r="E568" s="22" t="n">
        <v>18.6476</v>
      </c>
      <c r="F568" s="23" t="n">
        <v>2</v>
      </c>
      <c r="G568" s="24">
        <f>D568*H568</f>
        <v>21.165</v>
      </c>
      <c r="H568" s="25" t="n">
        <v>150</v>
      </c>
    </row>
    <row r="569">
      <c r="A569" s="20" t="inlineStr">
        <is>
          <t>0131940f-26a9-4277-a9a0-daad6caae080</t>
        </is>
      </c>
      <c r="B569" s="4" t="inlineStr">
        <is>
          <t>Siddhant Kumbhat</t>
        </is>
      </c>
      <c r="C569" s="6" t="inlineStr">
        <is>
          <t>sidkumbhat92@gmail.com</t>
        </is>
      </c>
      <c r="D569" s="21" t="n">
        <v>0.1605</v>
      </c>
      <c r="E569" s="22" t="n">
        <v>13.4977</v>
      </c>
      <c r="F569" s="23" t="n">
        <v>2</v>
      </c>
      <c r="G569" s="24">
        <f>D569*H569</f>
        <v>24.075</v>
      </c>
      <c r="H569" s="25" t="n">
        <v>150</v>
      </c>
    </row>
    <row r="570">
      <c r="A570" s="20" t="inlineStr">
        <is>
          <t>eee4b0f3-966e-44ff-87ba-ee13728cba41</t>
        </is>
      </c>
      <c r="B570" s="4" t="inlineStr">
        <is>
          <t>Siddhant Kumbhat</t>
        </is>
      </c>
      <c r="C570" s="6" t="inlineStr">
        <is>
          <t>sidkumbhat92@gmail.com</t>
        </is>
      </c>
      <c r="D570" s="21" t="n">
        <v>0.1803</v>
      </c>
      <c r="E570" s="22" t="n">
        <v>1.2162</v>
      </c>
      <c r="F570" s="23" t="n">
        <v>2</v>
      </c>
      <c r="G570" s="24">
        <f>D570*H570</f>
        <v>27.044999999999998</v>
      </c>
      <c r="H570" s="25" t="n">
        <v>150</v>
      </c>
    </row>
    <row r="571">
      <c r="A571" s="20" t="inlineStr">
        <is>
          <t>d73d3c83-6915-4db4-b785-1b6c109d583c</t>
        </is>
      </c>
      <c r="B571" s="4" t="inlineStr">
        <is>
          <t>Siddhant Kumbhat</t>
        </is>
      </c>
      <c r="C571" s="6" t="inlineStr">
        <is>
          <t>sidkumbhat92@gmail.com</t>
        </is>
      </c>
      <c r="D571" s="21" t="n">
        <v>0.2025</v>
      </c>
      <c r="E571" s="22" t="n">
        <v>19.0672</v>
      </c>
      <c r="F571" s="23" t="n">
        <v>2</v>
      </c>
      <c r="G571" s="24">
        <f>D571*H571</f>
        <v>30.375000000000004</v>
      </c>
      <c r="H571" s="25" t="n">
        <v>150</v>
      </c>
    </row>
    <row r="572">
      <c r="A572" s="20" t="inlineStr">
        <is>
          <t>5004a286-38dd-4a44-ae3e-6e391a0a169e</t>
        </is>
      </c>
      <c r="B572" s="4" t="inlineStr">
        <is>
          <t>Siddhant Kumbhat</t>
        </is>
      </c>
      <c r="C572" s="6" t="inlineStr">
        <is>
          <t>sidkumbhat92@gmail.com</t>
        </is>
      </c>
      <c r="D572" s="21" t="n">
        <v>0.2199</v>
      </c>
      <c r="E572" s="22" t="n">
        <v>1.4803</v>
      </c>
      <c r="F572" s="23" t="n">
        <v>1</v>
      </c>
      <c r="G572" s="24">
        <f>D572*H572</f>
        <v>32.985</v>
      </c>
      <c r="H572" s="25" t="n">
        <v>150</v>
      </c>
    </row>
    <row r="573">
      <c r="A573" s="20" t="inlineStr">
        <is>
          <t>e7e8cfa5-de70-4c9c-a998-9f5ac73e40ca</t>
        </is>
      </c>
      <c r="B573" s="4" t="inlineStr">
        <is>
          <t>Siddhant Kumbhat</t>
        </is>
      </c>
      <c r="C573" s="6" t="inlineStr">
        <is>
          <t>sidkumbhat92@gmail.com</t>
        </is>
      </c>
      <c r="D573" s="21" t="n">
        <v>0.3053</v>
      </c>
      <c r="E573" s="22" t="n">
        <v>0.968</v>
      </c>
      <c r="F573" s="23" t="n">
        <v>1</v>
      </c>
      <c r="G573" s="24">
        <f>D573*H573</f>
        <v>45.795</v>
      </c>
      <c r="H573" s="25" t="n">
        <v>150</v>
      </c>
    </row>
    <row r="574">
      <c r="A574" s="20" t="inlineStr">
        <is>
          <t>b5849f58-f531-4d0e-97cd-c01ce698b42a</t>
        </is>
      </c>
      <c r="B574" s="4" t="inlineStr">
        <is>
          <t>Siddhant Kumbhat</t>
        </is>
      </c>
      <c r="C574" s="6" t="inlineStr">
        <is>
          <t>sidkumbhat92@gmail.com</t>
        </is>
      </c>
      <c r="D574" s="21" t="n">
        <v>0.3085</v>
      </c>
      <c r="E574" s="22" t="n">
        <v>13.035</v>
      </c>
      <c r="F574" s="23" t="n">
        <v>2</v>
      </c>
      <c r="G574" s="24">
        <f>D574*H574</f>
        <v>46.275</v>
      </c>
      <c r="H574" s="25" t="n">
        <v>150</v>
      </c>
    </row>
    <row r="575">
      <c r="A575" s="20" t="inlineStr">
        <is>
          <t>ed0fdafc-2281-443d-9166-c5fcc3a90087</t>
        </is>
      </c>
      <c r="B575" s="4" t="inlineStr">
        <is>
          <t>Siddhant Kumbhat</t>
        </is>
      </c>
      <c r="C575" s="6" t="inlineStr">
        <is>
          <t>sidkumbhat92@gmail.com</t>
        </is>
      </c>
      <c r="D575" s="21" t="n">
        <v>0.3152</v>
      </c>
      <c r="E575" s="22" t="n">
        <v>12.7095</v>
      </c>
      <c r="F575" s="23" t="n">
        <v>3</v>
      </c>
      <c r="G575" s="24">
        <f>D575*H575</f>
        <v>47.279999999999994</v>
      </c>
      <c r="H575" s="25" t="n">
        <v>150</v>
      </c>
    </row>
    <row r="576">
      <c r="A576" s="20" t="inlineStr">
        <is>
          <t>2a51a76d-69ed-49d9-b1a9-27ec3062578a</t>
        </is>
      </c>
      <c r="B576" s="4" t="inlineStr">
        <is>
          <t>Siddhant Kumbhat</t>
        </is>
      </c>
      <c r="C576" s="6" t="inlineStr">
        <is>
          <t>sidkumbhat92@gmail.com</t>
        </is>
      </c>
      <c r="D576" s="21" t="n">
        <v>0.3263</v>
      </c>
      <c r="E576" s="22" t="n">
        <v>8.2723</v>
      </c>
      <c r="F576" s="23" t="n">
        <v>2</v>
      </c>
      <c r="G576" s="24">
        <f>D576*H576</f>
        <v>48.945</v>
      </c>
      <c r="H576" s="25" t="n">
        <v>150</v>
      </c>
    </row>
    <row r="577">
      <c r="A577" s="20" t="inlineStr">
        <is>
          <t>b2ff2150-99d9-4c23-b0d9-f3b517261f15</t>
        </is>
      </c>
      <c r="B577" s="4" t="inlineStr">
        <is>
          <t>Siddhant Kumbhat</t>
        </is>
      </c>
      <c r="C577" s="6" t="inlineStr">
        <is>
          <t>sidkumbhat92@gmail.com</t>
        </is>
      </c>
      <c r="D577" s="21" t="n">
        <v>0.3432</v>
      </c>
      <c r="E577" s="22" t="n">
        <v>15.0712</v>
      </c>
      <c r="F577" s="23" t="n">
        <v>3</v>
      </c>
      <c r="G577" s="24">
        <f>D577*H577</f>
        <v>51.480000000000004</v>
      </c>
      <c r="H577" s="25" t="n">
        <v>150</v>
      </c>
    </row>
    <row r="578">
      <c r="A578" s="20" t="inlineStr">
        <is>
          <t>5c5724e5-30ec-4acc-a7ec-449fae1ef6c2</t>
        </is>
      </c>
      <c r="B578" s="4" t="inlineStr">
        <is>
          <t>Siddhant Kumbhat</t>
        </is>
      </c>
      <c r="C578" s="6" t="inlineStr">
        <is>
          <t>sidkumbhat92@gmail.com</t>
        </is>
      </c>
      <c r="D578" s="21" t="n">
        <v>0.4059</v>
      </c>
      <c r="E578" s="22" t="n">
        <v>0.9771</v>
      </c>
      <c r="F578" s="23" t="n">
        <v>1</v>
      </c>
      <c r="G578" s="24">
        <f>D578*H578</f>
        <v>60.885</v>
      </c>
      <c r="H578" s="25" t="n">
        <v>150</v>
      </c>
    </row>
    <row r="579">
      <c r="A579" s="20" t="inlineStr">
        <is>
          <t>a91beea3-2694-4717-ab78-e086b174adea</t>
        </is>
      </c>
      <c r="B579" s="4" t="inlineStr">
        <is>
          <t>Siddhant Kumbhat</t>
        </is>
      </c>
      <c r="C579" s="6" t="inlineStr">
        <is>
          <t>sidkumbhat92@gmail.com</t>
        </is>
      </c>
      <c r="D579" s="21" t="n">
        <v>0.4226</v>
      </c>
      <c r="E579" s="22" t="n">
        <v>0.9813</v>
      </c>
      <c r="F579" s="23" t="n">
        <v>1</v>
      </c>
      <c r="G579" s="24">
        <f>D579*H579</f>
        <v>63.38999999999999</v>
      </c>
      <c r="H579" s="25" t="n">
        <v>150</v>
      </c>
    </row>
    <row r="580">
      <c r="A580" s="20" t="inlineStr">
        <is>
          <t>52cace46-93f8-4199-a106-082594389c05</t>
        </is>
      </c>
      <c r="B580" s="4" t="inlineStr">
        <is>
          <t>Siddhant Kumbhat</t>
        </is>
      </c>
      <c r="C580" s="6" t="inlineStr">
        <is>
          <t>sidkumbhat92@gmail.com</t>
        </is>
      </c>
      <c r="D580" s="21" t="n">
        <v>0.4288</v>
      </c>
      <c r="E580" s="22" t="n">
        <v>19.0364</v>
      </c>
      <c r="F580" s="23" t="n">
        <v>2</v>
      </c>
      <c r="G580" s="24">
        <f>D580*H580</f>
        <v>64.32000000000001</v>
      </c>
      <c r="H580" s="25" t="n">
        <v>150</v>
      </c>
    </row>
    <row r="581">
      <c r="A581" s="20" t="inlineStr">
        <is>
          <t>1660009b-abd6-4779-84f1-7d70ace19faa</t>
        </is>
      </c>
      <c r="B581" s="4" t="inlineStr">
        <is>
          <t>Siddhant Kumbhat</t>
        </is>
      </c>
      <c r="C581" s="6" t="inlineStr">
        <is>
          <t>sidkumbhat92@gmail.com</t>
        </is>
      </c>
      <c r="D581" s="21" t="n">
        <v>0.4381</v>
      </c>
      <c r="E581" s="22" t="n">
        <v>0.983</v>
      </c>
      <c r="F581" s="23" t="n">
        <v>1</v>
      </c>
      <c r="G581" s="24">
        <f>D581*H581</f>
        <v>65.715</v>
      </c>
      <c r="H581" s="25" t="n">
        <v>150</v>
      </c>
    </row>
    <row r="582">
      <c r="A582" s="20" t="inlineStr">
        <is>
          <t>d0572081-2ecb-4d41-a392-f721f459e530</t>
        </is>
      </c>
      <c r="B582" s="4" t="inlineStr">
        <is>
          <t>Siddhant Kumbhat</t>
        </is>
      </c>
      <c r="C582" s="6" t="inlineStr">
        <is>
          <t>sidkumbhat92@gmail.com</t>
        </is>
      </c>
      <c r="D582" s="21" t="n">
        <v>0.5634</v>
      </c>
      <c r="E582" s="22" t="n">
        <v>35.5433</v>
      </c>
      <c r="F582" s="23" t="n">
        <v>3</v>
      </c>
      <c r="G582" s="24">
        <f>D582*H582</f>
        <v>84.51</v>
      </c>
      <c r="H582" s="25" t="n">
        <v>150</v>
      </c>
    </row>
    <row r="583">
      <c r="A583" s="20" t="inlineStr">
        <is>
          <t>4f03ed42-a1f3-451a-9d20-aadeb11d8b2c</t>
        </is>
      </c>
      <c r="B583" s="4" t="inlineStr">
        <is>
          <t>Siddhant Kumbhat</t>
        </is>
      </c>
      <c r="C583" s="6" t="inlineStr">
        <is>
          <t>sidkumbhat92@gmail.com</t>
        </is>
      </c>
      <c r="D583" s="21" t="n">
        <v>0.5865</v>
      </c>
      <c r="E583" s="22" t="n">
        <v>12.8722</v>
      </c>
      <c r="F583" s="23" t="n">
        <v>2</v>
      </c>
      <c r="G583" s="24">
        <f>D583*H583</f>
        <v>87.97500000000001</v>
      </c>
      <c r="H583" s="25" t="n">
        <v>150</v>
      </c>
    </row>
    <row r="584">
      <c r="A584" s="20" t="inlineStr">
        <is>
          <t>b8718060-dc31-4962-bf08-44da6307f623</t>
        </is>
      </c>
      <c r="B584" s="4" t="inlineStr">
        <is>
          <t>Siddhant Kumbhat</t>
        </is>
      </c>
      <c r="C584" s="6" t="inlineStr">
        <is>
          <t>sidkumbhat92@gmail.com</t>
        </is>
      </c>
      <c r="D584" s="21" t="n">
        <v>0.5903</v>
      </c>
      <c r="E584" s="22" t="n">
        <v>13.1296</v>
      </c>
      <c r="F584" s="23" t="n">
        <v>2</v>
      </c>
      <c r="G584" s="24">
        <f>D584*H584</f>
        <v>88.545</v>
      </c>
      <c r="H584" s="25" t="n">
        <v>150</v>
      </c>
    </row>
    <row r="585">
      <c r="A585" s="20" t="inlineStr">
        <is>
          <t>1bcf965c-53d6-49de-9afa-49485763bce7</t>
        </is>
      </c>
      <c r="B585" s="4" t="inlineStr">
        <is>
          <t>Siddhant Kumbhat</t>
        </is>
      </c>
      <c r="C585" s="6" t="inlineStr">
        <is>
          <t>sidkumbhat92@gmail.com</t>
        </is>
      </c>
      <c r="D585" s="21" t="n">
        <v>0.5921999999999999</v>
      </c>
      <c r="E585" s="22" t="n">
        <v>18.9466</v>
      </c>
      <c r="F585" s="23" t="n">
        <v>4</v>
      </c>
      <c r="G585" s="24">
        <f>D585*H585</f>
        <v>88.83</v>
      </c>
      <c r="H585" s="25" t="n">
        <v>150</v>
      </c>
    </row>
    <row r="586">
      <c r="A586" s="20" t="inlineStr">
        <is>
          <t>03347e2f-cb54-477c-a971-2fa7f9976430</t>
        </is>
      </c>
      <c r="B586" s="4" t="inlineStr">
        <is>
          <t>Siddhant Kumbhat</t>
        </is>
      </c>
      <c r="C586" s="6" t="inlineStr">
        <is>
          <t>sidkumbhat92@gmail.com</t>
        </is>
      </c>
      <c r="D586" s="21" t="n">
        <v>0.6349</v>
      </c>
      <c r="E586" s="22" t="n">
        <v>14.3164</v>
      </c>
      <c r="F586" s="23" t="n">
        <v>3</v>
      </c>
      <c r="G586" s="24">
        <f>D586*H586</f>
        <v>95.235</v>
      </c>
      <c r="H586" s="25" t="n">
        <v>150</v>
      </c>
    </row>
    <row r="587">
      <c r="A587" s="20" t="inlineStr">
        <is>
          <t>d1ee7cb0-29db-40a6-84cd-4a68f5edc2bf</t>
        </is>
      </c>
      <c r="B587" s="4" t="inlineStr">
        <is>
          <t>Siddhant Kumbhat</t>
        </is>
      </c>
      <c r="C587" s="6" t="inlineStr">
        <is>
          <t>sidkumbhat92@gmail.com</t>
        </is>
      </c>
      <c r="D587" s="21" t="n">
        <v>0.7382</v>
      </c>
      <c r="E587" s="22" t="n">
        <v>14.4641</v>
      </c>
      <c r="F587" s="23" t="n">
        <v>4</v>
      </c>
      <c r="G587" s="24">
        <f>D587*H587</f>
        <v>110.72999999999999</v>
      </c>
      <c r="H587" s="25" t="n">
        <v>150</v>
      </c>
    </row>
    <row r="588">
      <c r="A588" s="20" t="inlineStr">
        <is>
          <t>b8e7a9f5-0f87-4c31-bda9-d1f1bddf13dd</t>
        </is>
      </c>
      <c r="B588" s="4" t="inlineStr">
        <is>
          <t>Siddhant Kumbhat</t>
        </is>
      </c>
      <c r="C588" s="6" t="inlineStr">
        <is>
          <t>sidkumbhat92@gmail.com</t>
        </is>
      </c>
      <c r="D588" s="21" t="n">
        <v>0.7824</v>
      </c>
      <c r="E588" s="22" t="n">
        <v>0.9373</v>
      </c>
      <c r="F588" s="23" t="n">
        <v>1</v>
      </c>
      <c r="G588" s="24">
        <f>D588*H588</f>
        <v>117.36</v>
      </c>
      <c r="H588" s="25" t="n">
        <v>150</v>
      </c>
    </row>
    <row r="589">
      <c r="A589" s="20" t="inlineStr">
        <is>
          <t>59597cc0-4e8a-49ed-86c7-28e57b77b98b</t>
        </is>
      </c>
      <c r="B589" s="4" t="inlineStr">
        <is>
          <t>Siddhant Kumbhat</t>
        </is>
      </c>
      <c r="C589" s="6" t="inlineStr">
        <is>
          <t>sidkumbhat92@gmail.com</t>
        </is>
      </c>
      <c r="D589" s="21" t="n">
        <v>0.8597</v>
      </c>
      <c r="E589" s="22" t="n">
        <v>16.3742</v>
      </c>
      <c r="F589" s="23" t="n">
        <v>4</v>
      </c>
      <c r="G589" s="24">
        <f>D589*H589</f>
        <v>128.955</v>
      </c>
      <c r="H589" s="25" t="n">
        <v>150</v>
      </c>
    </row>
    <row r="590">
      <c r="A590" s="20" t="inlineStr">
        <is>
          <t>bb849b91-e666-4307-b161-6ce8b7ac4258</t>
        </is>
      </c>
      <c r="B590" s="4" t="inlineStr">
        <is>
          <t>Siddhant Kumbhat</t>
        </is>
      </c>
      <c r="C590" s="6" t="inlineStr">
        <is>
          <t>sidkumbhat92@gmail.com</t>
        </is>
      </c>
      <c r="D590" s="21" t="n">
        <v>0.9278999999999999</v>
      </c>
      <c r="E590" s="22" t="n">
        <v>14.4026</v>
      </c>
      <c r="F590" s="23" t="n">
        <v>2</v>
      </c>
      <c r="G590" s="24">
        <f>D590*H590</f>
        <v>139.185</v>
      </c>
      <c r="H590" s="25" t="n">
        <v>150</v>
      </c>
    </row>
    <row r="591">
      <c r="A591" s="20" t="inlineStr">
        <is>
          <t>9fcfc61f-34e7-417b-b969-5fc81821081c</t>
        </is>
      </c>
      <c r="B591" s="4" t="inlineStr">
        <is>
          <t>Siddhant Kumbhat</t>
        </is>
      </c>
      <c r="C591" s="6" t="inlineStr">
        <is>
          <t>sidkumbhat92@gmail.com</t>
        </is>
      </c>
      <c r="D591" s="21" t="n">
        <v>0.967</v>
      </c>
      <c r="E591" s="22" t="n">
        <v>13.1823</v>
      </c>
      <c r="F591" s="23" t="n">
        <v>2</v>
      </c>
      <c r="G591" s="24">
        <f>D591*H591</f>
        <v>145.04999999999998</v>
      </c>
      <c r="H591" s="25" t="n">
        <v>150</v>
      </c>
    </row>
    <row r="592">
      <c r="A592" s="20" t="inlineStr">
        <is>
          <t>6997c7d0-80d5-4c73-aa18-21aa624c9e6a</t>
        </is>
      </c>
      <c r="B592" s="4" t="inlineStr">
        <is>
          <t>Siddhant Kumbhat</t>
        </is>
      </c>
      <c r="C592" s="6" t="inlineStr">
        <is>
          <t>sidkumbhat92@gmail.com</t>
        </is>
      </c>
      <c r="D592" s="21" t="n">
        <v>1.2478</v>
      </c>
      <c r="E592" s="22" t="n">
        <v>3.8232</v>
      </c>
      <c r="F592" s="23" t="n">
        <v>4</v>
      </c>
      <c r="G592" s="24">
        <f>D592*H592</f>
        <v>187.17000000000002</v>
      </c>
      <c r="H592" s="25" t="n">
        <v>150</v>
      </c>
    </row>
    <row r="593">
      <c r="A593" s="20" t="inlineStr">
        <is>
          <t>ff376e17-a5bd-4ee6-ab0b-6b1c19e559da</t>
        </is>
      </c>
      <c r="B593" s="4" t="inlineStr">
        <is>
          <t>Siddhant Kumbhat</t>
        </is>
      </c>
      <c r="C593" s="6" t="inlineStr">
        <is>
          <t>sidkumbhat92@gmail.com</t>
        </is>
      </c>
      <c r="D593" s="21" t="n">
        <v>1.2735</v>
      </c>
      <c r="E593" s="22" t="n">
        <v>16.985</v>
      </c>
      <c r="F593" s="23" t="n">
        <v>4</v>
      </c>
      <c r="G593" s="24">
        <f>D593*H593</f>
        <v>191.025</v>
      </c>
      <c r="H593" s="25" t="n">
        <v>150</v>
      </c>
    </row>
    <row r="594">
      <c r="A594" s="20" t="inlineStr">
        <is>
          <t>6884d34a-8cc9-443d-8c3d-7fcc2cbb61ee</t>
        </is>
      </c>
      <c r="B594" s="4" t="inlineStr">
        <is>
          <t>Siddhant Kumbhat</t>
        </is>
      </c>
      <c r="C594" s="6" t="inlineStr">
        <is>
          <t>sidkumbhat92@gmail.com</t>
        </is>
      </c>
      <c r="D594" s="21" t="n">
        <v>1.4115</v>
      </c>
      <c r="E594" s="22" t="n">
        <v>26.7188</v>
      </c>
      <c r="F594" s="23" t="n">
        <v>4</v>
      </c>
      <c r="G594" s="24">
        <f>D594*H594</f>
        <v>211.725</v>
      </c>
      <c r="H594" s="25" t="n">
        <v>150</v>
      </c>
    </row>
    <row r="595">
      <c r="A595" s="20" t="inlineStr">
        <is>
          <t>d9079680-b838-4b70-9bfc-813eb31a0999</t>
        </is>
      </c>
      <c r="B595" s="4" t="inlineStr">
        <is>
          <t>Siddhant Kumbhat</t>
        </is>
      </c>
      <c r="C595" s="6" t="inlineStr">
        <is>
          <t>sidkumbhat92@gmail.com</t>
        </is>
      </c>
      <c r="D595" s="21" t="n">
        <v>1.4582</v>
      </c>
      <c r="E595" s="22" t="n">
        <v>25.0407</v>
      </c>
      <c r="F595" s="23" t="n">
        <v>3</v>
      </c>
      <c r="G595" s="24">
        <f>D595*H595</f>
        <v>218.73</v>
      </c>
      <c r="H595" s="25" t="n">
        <v>150</v>
      </c>
    </row>
    <row r="596">
      <c r="A596" s="20" t="inlineStr">
        <is>
          <t>532c33eb-13e7-4ce0-99cd-0ce56139c291</t>
        </is>
      </c>
      <c r="B596" s="4" t="inlineStr">
        <is>
          <t>Siddhant Kumbhat</t>
        </is>
      </c>
      <c r="C596" s="6" t="inlineStr">
        <is>
          <t>sidkumbhat92@gmail.com</t>
        </is>
      </c>
      <c r="D596" s="21" t="n">
        <v>1.6947</v>
      </c>
      <c r="E596" s="22" t="n">
        <v>14.1854</v>
      </c>
      <c r="F596" s="23" t="n">
        <v>4</v>
      </c>
      <c r="G596" s="24">
        <f>D596*H596</f>
        <v>254.205</v>
      </c>
      <c r="H596" s="25" t="n">
        <v>150</v>
      </c>
    </row>
    <row r="597">
      <c r="A597" s="20" t="inlineStr">
        <is>
          <t>80794b7a-cdae-4865-8da4-405c2ed5bb1f</t>
        </is>
      </c>
      <c r="B597" s="4" t="inlineStr">
        <is>
          <t>Siddhant Kumbhat</t>
        </is>
      </c>
      <c r="C597" s="6" t="inlineStr">
        <is>
          <t>sidkumbhat92@gmail.com</t>
        </is>
      </c>
      <c r="D597" s="21" t="n">
        <v>2.0666</v>
      </c>
      <c r="E597" s="22" t="n">
        <v>25.7214</v>
      </c>
      <c r="F597" s="23" t="n">
        <v>4</v>
      </c>
      <c r="G597" s="24">
        <f>D597*H597</f>
        <v>309.99</v>
      </c>
      <c r="H597" s="25" t="n">
        <v>150</v>
      </c>
    </row>
    <row r="598">
      <c r="A598" s="20" t="inlineStr">
        <is>
          <t>6cd91295-cdff-44a4-9166-5d535c3d1338</t>
        </is>
      </c>
      <c r="B598" s="4" t="inlineStr">
        <is>
          <t>Siddhant Kumbhat</t>
        </is>
      </c>
      <c r="C598" s="6" t="inlineStr">
        <is>
          <t>sidkumbhat92@gmail.com</t>
        </is>
      </c>
      <c r="D598" s="21" t="n">
        <v>2.1062</v>
      </c>
      <c r="E598" s="22" t="n">
        <v>13.044</v>
      </c>
      <c r="F598" s="23" t="n">
        <v>2</v>
      </c>
      <c r="G598" s="24">
        <f>D598*H598</f>
        <v>315.92999999999995</v>
      </c>
      <c r="H598" s="25" t="n">
        <v>150</v>
      </c>
    </row>
    <row r="599">
      <c r="A599" s="20" t="inlineStr">
        <is>
          <t>b7b5ce48-1b7b-43e5-9e29-4d1b13966cea</t>
        </is>
      </c>
      <c r="B599" s="4" t="inlineStr">
        <is>
          <t>Siddhant Kumbhat</t>
        </is>
      </c>
      <c r="C599" s="6" t="inlineStr">
        <is>
          <t>sidkumbhat92@gmail.com</t>
        </is>
      </c>
      <c r="D599" s="21" t="n">
        <v>2.1159</v>
      </c>
      <c r="E599" s="22" t="n">
        <v>37.7849</v>
      </c>
      <c r="F599" s="23" t="n">
        <v>4</v>
      </c>
      <c r="G599" s="24">
        <f>D599*H599</f>
        <v>317.385</v>
      </c>
      <c r="H599" s="25" t="n">
        <v>150</v>
      </c>
    </row>
    <row r="600">
      <c r="A600" s="20" t="inlineStr">
        <is>
          <t>9d0f9e5e-b5fe-4177-9b65-a20af4f7a412</t>
        </is>
      </c>
      <c r="B600" s="4" t="inlineStr">
        <is>
          <t>Siddhant Kumbhat</t>
        </is>
      </c>
      <c r="C600" s="6" t="inlineStr">
        <is>
          <t>sidkumbhat92@gmail.com</t>
        </is>
      </c>
      <c r="D600" s="21" t="n">
        <v>2.3191</v>
      </c>
      <c r="E600" s="22" t="n">
        <v>37.6373</v>
      </c>
      <c r="F600" s="23" t="n">
        <v>5</v>
      </c>
      <c r="G600" s="24">
        <f>D600*H600</f>
        <v>347.865</v>
      </c>
      <c r="H600" s="25" t="n">
        <v>150</v>
      </c>
    </row>
    <row r="601">
      <c r="A601" s="20" t="inlineStr">
        <is>
          <t>7702ac73-0e42-452c-a1f8-78656396b36b</t>
        </is>
      </c>
      <c r="B601" s="4" t="inlineStr">
        <is>
          <t>Siddhant Kumbhat</t>
        </is>
      </c>
      <c r="C601" s="6" t="inlineStr">
        <is>
          <t>sidkumbhat92@gmail.com</t>
        </is>
      </c>
      <c r="D601" s="21" t="n">
        <v>2.5748</v>
      </c>
      <c r="E601" s="22" t="n">
        <v>13.1686</v>
      </c>
      <c r="F601" s="23" t="n">
        <v>2</v>
      </c>
      <c r="G601" s="24">
        <f>D601*H601</f>
        <v>386.22</v>
      </c>
      <c r="H601" s="25" t="n">
        <v>150</v>
      </c>
    </row>
    <row r="602">
      <c r="A602" s="20" t="inlineStr">
        <is>
          <t>dbf49db8-78e9-429e-9a00-a5c474d6c824</t>
        </is>
      </c>
      <c r="B602" s="4" t="inlineStr">
        <is>
          <t>Siddhant Kumbhat</t>
        </is>
      </c>
      <c r="C602" s="6" t="inlineStr">
        <is>
          <t>sidkumbhat92@gmail.com</t>
        </is>
      </c>
      <c r="D602" s="21" t="n">
        <v>2.6092</v>
      </c>
      <c r="E602" s="22" t="n">
        <v>26.8476</v>
      </c>
      <c r="F602" s="23" t="n">
        <v>5</v>
      </c>
      <c r="G602" s="24">
        <f>D602*H602</f>
        <v>391.38</v>
      </c>
      <c r="H602" s="25" t="n">
        <v>150</v>
      </c>
    </row>
    <row r="603">
      <c r="A603" s="20" t="inlineStr">
        <is>
          <t>8d288d4f-9d63-42c2-9f4e-4c49eaaa101c</t>
        </is>
      </c>
      <c r="B603" s="4" t="inlineStr">
        <is>
          <t>Siddhant Kumbhat</t>
        </is>
      </c>
      <c r="C603" s="6" t="inlineStr">
        <is>
          <t>sidkumbhat92@gmail.com</t>
        </is>
      </c>
      <c r="D603" s="21" t="n">
        <v>3.4101</v>
      </c>
      <c r="E603" s="22" t="n">
        <v>21.0489</v>
      </c>
      <c r="F603" s="23" t="n">
        <v>7</v>
      </c>
      <c r="G603" s="24">
        <f>D603*H603</f>
        <v>511.515</v>
      </c>
      <c r="H603" s="25" t="n">
        <v>150</v>
      </c>
    </row>
    <row r="604">
      <c r="A604" s="20" t="inlineStr">
        <is>
          <t>5645e4a1-b2d4-4706-bb4f-5589436cb233</t>
        </is>
      </c>
      <c r="B604" s="4" t="inlineStr">
        <is>
          <t>Siddhant Kumbhat</t>
        </is>
      </c>
      <c r="C604" s="6" t="inlineStr">
        <is>
          <t>sidkumbhat92@gmail.com</t>
        </is>
      </c>
      <c r="D604" s="21" t="n">
        <v>4.3916</v>
      </c>
      <c r="E604" s="22" t="n">
        <v>25.2548</v>
      </c>
      <c r="F604" s="23" t="n">
        <v>3</v>
      </c>
      <c r="G604" s="24">
        <f>D604*H604</f>
        <v>658.74</v>
      </c>
      <c r="H604" s="25" t="n">
        <v>150</v>
      </c>
    </row>
    <row r="605">
      <c r="A605" s="20" t="inlineStr">
        <is>
          <t>94fe0eed-d5c4-43eb-8cd5-fcfe5000ab5f</t>
        </is>
      </c>
      <c r="B605" s="4" t="inlineStr">
        <is>
          <t>Artus Granier</t>
        </is>
      </c>
      <c r="C605" s="6" t="inlineStr">
        <is>
          <t>artus.granier@live.fr</t>
        </is>
      </c>
      <c r="D605" s="21" t="n">
        <v>0.0882</v>
      </c>
      <c r="E605" s="22" t="n">
        <v>1.7246</v>
      </c>
      <c r="F605" s="23" t="n">
        <v>1</v>
      </c>
      <c r="G605" s="24">
        <f>D605*H605</f>
        <v>13.23</v>
      </c>
      <c r="H605" s="25" t="n">
        <v>150</v>
      </c>
    </row>
    <row r="606">
      <c r="A606" s="20" t="inlineStr">
        <is>
          <t>0ba8993d-3fbe-445c-9be2-3e590f9c2fc7</t>
        </is>
      </c>
      <c r="B606" s="4" t="inlineStr">
        <is>
          <t>Artus Granier</t>
        </is>
      </c>
      <c r="C606" s="6" t="inlineStr">
        <is>
          <t>artus.granier@live.fr</t>
        </is>
      </c>
      <c r="D606" s="21" t="n">
        <v>0.0973</v>
      </c>
      <c r="E606" s="22" t="n">
        <v>1.6947</v>
      </c>
      <c r="F606" s="23" t="n">
        <v>1</v>
      </c>
      <c r="G606" s="24">
        <f>D606*H606</f>
        <v>14.594999999999999</v>
      </c>
      <c r="H606" s="25" t="n">
        <v>150</v>
      </c>
    </row>
    <row r="607">
      <c r="A607" s="20" t="inlineStr">
        <is>
          <t>e37f4f08-53c3-401a-a073-4a1db5c6f226</t>
        </is>
      </c>
      <c r="B607" s="4" t="inlineStr">
        <is>
          <t>Artus Granier</t>
        </is>
      </c>
      <c r="C607" s="6" t="inlineStr">
        <is>
          <t>artus.granier@live.fr</t>
        </is>
      </c>
      <c r="D607" s="21" t="n">
        <v>0.1257</v>
      </c>
      <c r="E607" s="22" t="n">
        <v>0.3077</v>
      </c>
      <c r="F607" s="23" t="n">
        <v>1</v>
      </c>
      <c r="G607" s="24">
        <f>D607*H607</f>
        <v>18.855</v>
      </c>
      <c r="H607" s="25" t="n">
        <v>150</v>
      </c>
    </row>
    <row r="608">
      <c r="A608" s="20" t="inlineStr">
        <is>
          <t>2d3ccca8-c225-4245-83d8-39627eec41cc</t>
        </is>
      </c>
      <c r="B608" s="4" t="inlineStr">
        <is>
          <t>Artus Granier</t>
        </is>
      </c>
      <c r="C608" s="6" t="inlineStr">
        <is>
          <t>artus.granier@live.fr</t>
        </is>
      </c>
      <c r="D608" s="21" t="n">
        <v>0.2599</v>
      </c>
      <c r="E608" s="22" t="n">
        <v>12.4656</v>
      </c>
      <c r="F608" s="23" t="n">
        <v>2</v>
      </c>
      <c r="G608" s="24">
        <f>D608*H608</f>
        <v>38.985</v>
      </c>
      <c r="H608" s="25" t="n">
        <v>150</v>
      </c>
    </row>
    <row r="609">
      <c r="A609" s="20" t="inlineStr">
        <is>
          <t>afa95283-606c-408e-8715-191288371587</t>
        </is>
      </c>
      <c r="B609" s="4" t="inlineStr">
        <is>
          <t>Artus Granier</t>
        </is>
      </c>
      <c r="C609" s="6" t="inlineStr">
        <is>
          <t>artus.granier@live.fr</t>
        </is>
      </c>
      <c r="D609" s="21" t="n">
        <v>0.3723</v>
      </c>
      <c r="E609" s="22" t="n">
        <v>14.9319</v>
      </c>
      <c r="F609" s="23" t="n">
        <v>4</v>
      </c>
      <c r="G609" s="24">
        <f>D609*H609</f>
        <v>55.845000000000006</v>
      </c>
      <c r="H609" s="25" t="n">
        <v>150</v>
      </c>
    </row>
    <row r="610">
      <c r="A610" s="20" t="inlineStr">
        <is>
          <t>44096378-80c6-4e80-8dde-203964730826</t>
        </is>
      </c>
      <c r="B610" s="4" t="inlineStr">
        <is>
          <t>Artus Granier</t>
        </is>
      </c>
      <c r="C610" s="6" t="inlineStr">
        <is>
          <t>artus.granier@live.fr</t>
        </is>
      </c>
      <c r="D610" s="21" t="n">
        <v>0.4011</v>
      </c>
      <c r="E610" s="22" t="n">
        <v>17.6318</v>
      </c>
      <c r="F610" s="23" t="n">
        <v>2</v>
      </c>
      <c r="G610" s="24">
        <f>D610*H610</f>
        <v>60.165</v>
      </c>
      <c r="H610" s="25" t="n">
        <v>150</v>
      </c>
    </row>
    <row r="611">
      <c r="A611" s="20" t="inlineStr">
        <is>
          <t>41836b75-6af6-4558-bda5-70fc7da14472</t>
        </is>
      </c>
      <c r="B611" s="4" t="inlineStr">
        <is>
          <t>Artus Granier</t>
        </is>
      </c>
      <c r="C611" s="6" t="inlineStr">
        <is>
          <t>artus.granier@live.fr</t>
        </is>
      </c>
      <c r="D611" s="21" t="n">
        <v>0.4031</v>
      </c>
      <c r="E611" s="22" t="n">
        <v>13.6057</v>
      </c>
      <c r="F611" s="23" t="n">
        <v>3</v>
      </c>
      <c r="G611" s="24">
        <f>D611*H611</f>
        <v>60.465</v>
      </c>
      <c r="H611" s="25" t="n">
        <v>150</v>
      </c>
    </row>
    <row r="612">
      <c r="A612" s="20" t="inlineStr">
        <is>
          <t>5f5a8bf5-c439-4a10-8eb7-a05e6b580115</t>
        </is>
      </c>
      <c r="B612" s="4" t="inlineStr">
        <is>
          <t>Artus Granier</t>
        </is>
      </c>
      <c r="C612" s="6" t="inlineStr">
        <is>
          <t>artus.granier@live.fr</t>
        </is>
      </c>
      <c r="D612" s="21" t="n">
        <v>0.4538</v>
      </c>
      <c r="E612" s="22" t="n">
        <v>13.8151</v>
      </c>
      <c r="F612" s="23" t="n">
        <v>4</v>
      </c>
      <c r="G612" s="24">
        <f>D612*H612</f>
        <v>68.07</v>
      </c>
      <c r="H612" s="25" t="n">
        <v>150</v>
      </c>
    </row>
    <row r="613">
      <c r="A613" s="20" t="inlineStr">
        <is>
          <t>e44ade75-9394-4367-85d6-59b345714491</t>
        </is>
      </c>
      <c r="B613" s="4" t="inlineStr">
        <is>
          <t>Artus Granier</t>
        </is>
      </c>
      <c r="C613" s="6" t="inlineStr">
        <is>
          <t>artus.granier@live.fr</t>
        </is>
      </c>
      <c r="D613" s="21" t="n">
        <v>0.4722</v>
      </c>
      <c r="E613" s="22" t="n">
        <v>1.645</v>
      </c>
      <c r="F613" s="23" t="n">
        <v>2</v>
      </c>
      <c r="G613" s="24">
        <f>D613*H613</f>
        <v>70.83</v>
      </c>
      <c r="H613" s="25" t="n">
        <v>150</v>
      </c>
    </row>
    <row r="614">
      <c r="A614" s="20" t="inlineStr">
        <is>
          <t>70b0a4d6-7d55-45f2-aa15-e55a02ba2fe6</t>
        </is>
      </c>
      <c r="B614" s="4" t="inlineStr">
        <is>
          <t>Artus Granier</t>
        </is>
      </c>
      <c r="C614" s="6" t="inlineStr">
        <is>
          <t>artus.granier@live.fr</t>
        </is>
      </c>
      <c r="D614" s="21" t="n">
        <v>0.48</v>
      </c>
      <c r="E614" s="22" t="n">
        <v>21.1991</v>
      </c>
      <c r="F614" s="23" t="n">
        <v>6</v>
      </c>
      <c r="G614" s="24">
        <f>D614*H614</f>
        <v>72.0</v>
      </c>
      <c r="H614" s="25" t="n">
        <v>150</v>
      </c>
    </row>
    <row r="615">
      <c r="A615" s="20" t="inlineStr">
        <is>
          <t>29917829-21e3-44d9-a7bf-da4048380c6d</t>
        </is>
      </c>
      <c r="B615" s="4" t="inlineStr">
        <is>
          <t>Artus Granier</t>
        </is>
      </c>
      <c r="C615" s="6" t="inlineStr">
        <is>
          <t>artus.granier@live.fr</t>
        </is>
      </c>
      <c r="D615" s="21" t="n">
        <v>0.5152</v>
      </c>
      <c r="E615" s="22" t="n">
        <v>29.2847</v>
      </c>
      <c r="F615" s="23" t="n">
        <v>3</v>
      </c>
      <c r="G615" s="24">
        <f>D615*H615</f>
        <v>77.28</v>
      </c>
      <c r="H615" s="25" t="n">
        <v>150</v>
      </c>
    </row>
    <row r="616">
      <c r="A616" s="20" t="inlineStr">
        <is>
          <t>edd4dcc9-34e7-43ae-9a7c-d2bc247344fc</t>
        </is>
      </c>
      <c r="B616" s="4" t="inlineStr">
        <is>
          <t>Artus Granier</t>
        </is>
      </c>
      <c r="C616" s="6" t="inlineStr">
        <is>
          <t>artus.granier@live.fr</t>
        </is>
      </c>
      <c r="D616" s="21" t="n">
        <v>0.5482</v>
      </c>
      <c r="E616" s="22" t="n">
        <v>14.7144</v>
      </c>
      <c r="F616" s="23" t="n">
        <v>5</v>
      </c>
      <c r="G616" s="24">
        <f>D616*H616</f>
        <v>82.23</v>
      </c>
      <c r="H616" s="25" t="n">
        <v>150</v>
      </c>
    </row>
    <row r="617">
      <c r="A617" s="20" t="inlineStr">
        <is>
          <t>6887ee53-c235-473b-bc9e-b555282b77db</t>
        </is>
      </c>
      <c r="B617" s="4" t="inlineStr">
        <is>
          <t>Artus Granier</t>
        </is>
      </c>
      <c r="C617" s="6" t="inlineStr">
        <is>
          <t>artus.granier@live.fr</t>
        </is>
      </c>
      <c r="D617" s="21" t="n">
        <v>0.5885</v>
      </c>
      <c r="E617" s="22" t="n">
        <v>13.4305</v>
      </c>
      <c r="F617" s="23" t="n">
        <v>2</v>
      </c>
      <c r="G617" s="24">
        <f>D617*H617</f>
        <v>88.275</v>
      </c>
      <c r="H617" s="25" t="n">
        <v>150</v>
      </c>
    </row>
    <row r="618">
      <c r="A618" s="20" t="inlineStr">
        <is>
          <t>50461e0e-9ef2-408e-960a-fe877187a29d</t>
        </is>
      </c>
      <c r="B618" s="4" t="inlineStr">
        <is>
          <t>Artus Granier</t>
        </is>
      </c>
      <c r="C618" s="6" t="inlineStr">
        <is>
          <t>artus.granier@live.fr</t>
        </is>
      </c>
      <c r="D618" s="21" t="n">
        <v>0.59</v>
      </c>
      <c r="E618" s="22" t="n">
        <v>1.8186</v>
      </c>
      <c r="F618" s="23" t="n">
        <v>3</v>
      </c>
      <c r="G618" s="24">
        <f>D618*H618</f>
        <v>88.5</v>
      </c>
      <c r="H618" s="25" t="n">
        <v>150</v>
      </c>
    </row>
    <row r="619">
      <c r="A619" s="20" t="inlineStr">
        <is>
          <t>aed07bd1-28f7-4557-b148-f786b8e29db4</t>
        </is>
      </c>
      <c r="B619" s="4" t="inlineStr">
        <is>
          <t>Artus Granier</t>
        </is>
      </c>
      <c r="C619" s="6" t="inlineStr">
        <is>
          <t>artus.granier@live.fr</t>
        </is>
      </c>
      <c r="D619" s="21" t="n">
        <v>0.6456</v>
      </c>
      <c r="E619" s="22" t="n">
        <v>5.0186</v>
      </c>
      <c r="F619" s="23" t="n">
        <v>2</v>
      </c>
      <c r="G619" s="24">
        <f>D619*H619</f>
        <v>96.83999999999999</v>
      </c>
      <c r="H619" s="25" t="n">
        <v>150</v>
      </c>
    </row>
    <row r="620">
      <c r="A620" s="20" t="inlineStr">
        <is>
          <t>d5067ff5-2c70-4ba2-beb2-20f2a4adf3d5</t>
        </is>
      </c>
      <c r="B620" s="4" t="inlineStr">
        <is>
          <t>Artus Granier</t>
        </is>
      </c>
      <c r="C620" s="6" t="inlineStr">
        <is>
          <t>artus.granier@live.fr</t>
        </is>
      </c>
      <c r="D620" s="21" t="n">
        <v>0.6802</v>
      </c>
      <c r="E620" s="22" t="n">
        <v>16.2551</v>
      </c>
      <c r="F620" s="23" t="n">
        <v>4</v>
      </c>
      <c r="G620" s="24">
        <f>D620*H620</f>
        <v>102.03</v>
      </c>
      <c r="H620" s="25" t="n">
        <v>150</v>
      </c>
    </row>
    <row r="621">
      <c r="A621" s="20" t="inlineStr">
        <is>
          <t>3446b245-7e94-4606-9aa8-fb5ad1c40eec</t>
        </is>
      </c>
      <c r="B621" s="4" t="inlineStr">
        <is>
          <t>Artus Granier</t>
        </is>
      </c>
      <c r="C621" s="6" t="inlineStr">
        <is>
          <t>artus.granier@live.fr</t>
        </is>
      </c>
      <c r="D621" s="21" t="n">
        <v>0.7301</v>
      </c>
      <c r="E621" s="22" t="n">
        <v>4.5253</v>
      </c>
      <c r="F621" s="23" t="n">
        <v>3</v>
      </c>
      <c r="G621" s="24">
        <f>D621*H621</f>
        <v>109.515</v>
      </c>
      <c r="H621" s="25" t="n">
        <v>150</v>
      </c>
    </row>
    <row r="622">
      <c r="A622" s="20" t="inlineStr">
        <is>
          <t>91dc908a-be6d-49b1-9775-00bf2068d98b</t>
        </is>
      </c>
      <c r="B622" s="4" t="inlineStr">
        <is>
          <t>Artus Granier</t>
        </is>
      </c>
      <c r="C622" s="6" t="inlineStr">
        <is>
          <t>artus.granier@live.fr</t>
        </is>
      </c>
      <c r="D622" s="21" t="n">
        <v>0.7386</v>
      </c>
      <c r="E622" s="22" t="n">
        <v>25.3238</v>
      </c>
      <c r="F622" s="23" t="n">
        <v>3</v>
      </c>
      <c r="G622" s="24">
        <f>D622*H622</f>
        <v>110.79</v>
      </c>
      <c r="H622" s="25" t="n">
        <v>150</v>
      </c>
    </row>
    <row r="623">
      <c r="A623" s="20" t="inlineStr">
        <is>
          <t>c497208a-f4b1-428f-9dd0-f58a0ad9828e</t>
        </is>
      </c>
      <c r="B623" s="4" t="inlineStr">
        <is>
          <t>Artus Granier</t>
        </is>
      </c>
      <c r="C623" s="6" t="inlineStr">
        <is>
          <t>artus.granier@live.fr</t>
        </is>
      </c>
      <c r="D623" s="21" t="n">
        <v>0.8348</v>
      </c>
      <c r="E623" s="22" t="n">
        <v>12</v>
      </c>
      <c r="F623" s="23" t="n">
        <v>1</v>
      </c>
      <c r="G623" s="24">
        <f>D623*H623</f>
        <v>125.22</v>
      </c>
      <c r="H623" s="25" t="n">
        <v>150</v>
      </c>
    </row>
    <row r="624">
      <c r="A624" s="20" t="inlineStr">
        <is>
          <t>93f02e07-1173-4218-9737-c45a1d0f7a91</t>
        </is>
      </c>
      <c r="B624" s="4" t="inlineStr">
        <is>
          <t>Artus Granier</t>
        </is>
      </c>
      <c r="C624" s="6" t="inlineStr">
        <is>
          <t>artus.granier@live.fr</t>
        </is>
      </c>
      <c r="D624" s="21" t="n">
        <v>0.877</v>
      </c>
      <c r="E624" s="22" t="n">
        <v>23.7481</v>
      </c>
      <c r="F624" s="23" t="n">
        <v>4</v>
      </c>
      <c r="G624" s="24">
        <f>D624*H624</f>
        <v>131.55</v>
      </c>
      <c r="H624" s="25" t="n">
        <v>150</v>
      </c>
    </row>
    <row r="625">
      <c r="A625" s="20" t="inlineStr">
        <is>
          <t>26e3f2c3-6cab-4efc-a4fa-9fd219285817</t>
        </is>
      </c>
      <c r="B625" s="4" t="inlineStr">
        <is>
          <t>Artus Granier</t>
        </is>
      </c>
      <c r="C625" s="6" t="inlineStr">
        <is>
          <t>artus.granier@live.fr</t>
        </is>
      </c>
      <c r="D625" s="21" t="n">
        <v>0.8974</v>
      </c>
      <c r="E625" s="22" t="n">
        <v>13.9085</v>
      </c>
      <c r="F625" s="23" t="n">
        <v>4</v>
      </c>
      <c r="G625" s="24">
        <f>D625*H625</f>
        <v>134.60999999999999</v>
      </c>
      <c r="H625" s="25" t="n">
        <v>150</v>
      </c>
    </row>
    <row r="626">
      <c r="A626" s="20" t="inlineStr">
        <is>
          <t>833e2675-12a4-4d77-a31f-9c215c19b601</t>
        </is>
      </c>
      <c r="B626" s="4" t="inlineStr">
        <is>
          <t>Artus Granier</t>
        </is>
      </c>
      <c r="C626" s="6" t="inlineStr">
        <is>
          <t>artus.granier@live.fr</t>
        </is>
      </c>
      <c r="D626" s="21" t="n">
        <v>1.6286</v>
      </c>
      <c r="E626" s="22" t="n">
        <v>29.1998</v>
      </c>
      <c r="F626" s="23" t="n">
        <v>4</v>
      </c>
      <c r="G626" s="24">
        <f>D626*H626</f>
        <v>244.29000000000002</v>
      </c>
      <c r="H626" s="25" t="n">
        <v>150</v>
      </c>
    </row>
    <row r="627">
      <c r="A627" s="20" t="inlineStr">
        <is>
          <t>9cdbc35f-8d25-49d1-b574-f5c0c97239f0</t>
        </is>
      </c>
      <c r="B627" s="4" t="inlineStr">
        <is>
          <t>Artus Granier</t>
        </is>
      </c>
      <c r="C627" s="6" t="inlineStr">
        <is>
          <t>artus.granier@live.fr</t>
        </is>
      </c>
      <c r="D627" s="21" t="n">
        <v>2.5564</v>
      </c>
      <c r="E627" s="22" t="n">
        <v>28.817</v>
      </c>
      <c r="F627" s="23" t="n">
        <v>6</v>
      </c>
      <c r="G627" s="24">
        <f>D627*H627</f>
        <v>383.46</v>
      </c>
      <c r="H627" s="25" t="n">
        <v>150</v>
      </c>
    </row>
    <row r="628">
      <c r="A628" s="20" t="inlineStr">
        <is>
          <t>7a7e4d8d-2955-46f1-9d1c-480aa81324f7</t>
        </is>
      </c>
      <c r="B628" s="4" t="inlineStr">
        <is>
          <t>Artus Granier</t>
        </is>
      </c>
      <c r="C628" s="6" t="inlineStr">
        <is>
          <t>artus.granier@live.fr</t>
        </is>
      </c>
      <c r="D628" s="21" t="n">
        <v>3.2013</v>
      </c>
      <c r="E628" s="22" t="n">
        <v>84</v>
      </c>
      <c r="F628" s="23" t="n">
        <v>7</v>
      </c>
      <c r="G628" s="24">
        <f>D628*H628</f>
        <v>480.195</v>
      </c>
      <c r="H628" s="25" t="n">
        <v>150</v>
      </c>
    </row>
    <row r="629">
      <c r="A629" s="20" t="inlineStr">
        <is>
          <t>ca370db0-31ad-4b1c-aba2-aac6757e9a2d</t>
        </is>
      </c>
      <c r="B629" s="4" t="inlineStr">
        <is>
          <t>Artus Granier</t>
        </is>
      </c>
      <c r="C629" s="6" t="inlineStr">
        <is>
          <t>artus.granier@live.fr</t>
        </is>
      </c>
      <c r="D629" s="21" t="n">
        <v>3.217</v>
      </c>
      <c r="E629" s="22" t="n">
        <v>34.0504</v>
      </c>
      <c r="F629" s="23" t="n">
        <v>4</v>
      </c>
      <c r="G629" s="24">
        <f>D629*H629</f>
        <v>482.55</v>
      </c>
      <c r="H629" s="25" t="n">
        <v>150</v>
      </c>
    </row>
    <row r="630">
      <c r="A630" s="20" t="inlineStr">
        <is>
          <t>c5e96b3c-2b2a-4c13-974a-b76bccdafa6a</t>
        </is>
      </c>
      <c r="B630" s="4" t="inlineStr">
        <is>
          <t>Artus Granier</t>
        </is>
      </c>
      <c r="C630" s="6" t="inlineStr">
        <is>
          <t>artus.granier@live.fr</t>
        </is>
      </c>
      <c r="D630" s="21" t="n">
        <v>5.2489</v>
      </c>
      <c r="E630" s="22" t="n">
        <v>49.5279</v>
      </c>
      <c r="F630" s="23" t="n">
        <v>6</v>
      </c>
      <c r="G630" s="24">
        <f>D630*H630</f>
        <v>787.335</v>
      </c>
      <c r="H630" s="25" t="n">
        <v>150</v>
      </c>
    </row>
    <row r="631">
      <c r="A631" s="20" t="inlineStr">
        <is>
          <t>f7bb0d5a-78ea-4875-b82b-651c7014eccd</t>
        </is>
      </c>
      <c r="B631" s="4" t="inlineStr">
        <is>
          <t>Ariya Savla</t>
        </is>
      </c>
      <c r="C631" s="6" t="inlineStr">
        <is>
          <t>ariya.savla@gmail.com</t>
        </is>
      </c>
      <c r="D631" s="21" t="n">
        <v>0.17</v>
      </c>
      <c r="E631" s="22" t="n">
        <v>0.8556</v>
      </c>
      <c r="F631" s="23" t="n">
        <v>1</v>
      </c>
      <c r="G631" s="24">
        <f>D631*H631</f>
        <v>25.500000000000004</v>
      </c>
      <c r="H631" s="25" t="n">
        <v>150</v>
      </c>
    </row>
    <row r="632">
      <c r="A632" s="20" t="inlineStr">
        <is>
          <t>8170bd5d-44ae-4823-8fdd-01e27d948f5e</t>
        </is>
      </c>
      <c r="B632" s="4" t="inlineStr">
        <is>
          <t>Ariya Savla</t>
        </is>
      </c>
      <c r="C632" s="6" t="inlineStr">
        <is>
          <t>ariya.savla@gmail.com</t>
        </is>
      </c>
      <c r="D632" s="21" t="n">
        <v>0.1927</v>
      </c>
      <c r="E632" s="22" t="n">
        <v>0.6895</v>
      </c>
      <c r="F632" s="23" t="n">
        <v>1</v>
      </c>
      <c r="G632" s="24">
        <f>D632*H632</f>
        <v>28.905</v>
      </c>
      <c r="H632" s="25" t="n">
        <v>150</v>
      </c>
    </row>
    <row r="633">
      <c r="A633" s="20" t="inlineStr">
        <is>
          <t>1932d27f-92a0-4598-85c6-16d61459ca5e</t>
        </is>
      </c>
      <c r="B633" s="4" t="inlineStr">
        <is>
          <t>Ariya Savla</t>
        </is>
      </c>
      <c r="C633" s="6" t="inlineStr">
        <is>
          <t>ariya.savla@gmail.com</t>
        </is>
      </c>
      <c r="D633" s="21" t="n">
        <v>0.2966</v>
      </c>
      <c r="E633" s="22" t="n">
        <v>3.3052</v>
      </c>
      <c r="F633" s="23" t="n">
        <v>2</v>
      </c>
      <c r="G633" s="24">
        <f>D633*H633</f>
        <v>44.489999999999995</v>
      </c>
      <c r="H633" s="25" t="n">
        <v>150</v>
      </c>
    </row>
    <row r="634">
      <c r="A634" s="20" t="inlineStr">
        <is>
          <t>bc832fee-3175-4d0e-846e-b7debc0ad2d3</t>
        </is>
      </c>
      <c r="B634" s="4" t="inlineStr">
        <is>
          <t>Ariya Savla</t>
        </is>
      </c>
      <c r="C634" s="6" t="inlineStr">
        <is>
          <t>ariya.savla@gmail.com</t>
        </is>
      </c>
      <c r="D634" s="21" t="n">
        <v>0.5907</v>
      </c>
      <c r="E634" s="22" t="n">
        <v>17.9263</v>
      </c>
      <c r="F634" s="23" t="n">
        <v>3</v>
      </c>
      <c r="G634" s="24">
        <f>D634*H634</f>
        <v>88.605</v>
      </c>
      <c r="H634" s="25" t="n">
        <v>150</v>
      </c>
    </row>
    <row r="635">
      <c r="A635" s="20" t="inlineStr">
        <is>
          <t>7691c74d-b0c3-439a-b2ec-6af8c66830ce</t>
        </is>
      </c>
      <c r="B635" s="4" t="inlineStr">
        <is>
          <t>Ariya Savla</t>
        </is>
      </c>
      <c r="C635" s="6" t="inlineStr">
        <is>
          <t>ariya.savla@gmail.com</t>
        </is>
      </c>
      <c r="D635" s="21" t="n">
        <v>0.6042</v>
      </c>
      <c r="E635" s="22" t="n">
        <v>7.0533</v>
      </c>
      <c r="F635" s="23" t="n">
        <v>1</v>
      </c>
      <c r="G635" s="24">
        <f>D635*H635</f>
        <v>90.63</v>
      </c>
      <c r="H635" s="25" t="n">
        <v>150</v>
      </c>
    </row>
    <row r="636">
      <c r="A636" s="20" t="inlineStr">
        <is>
          <t>4f4b6896-1e70-412b-8816-7d76505f02a0</t>
        </is>
      </c>
      <c r="B636" s="4" t="inlineStr">
        <is>
          <t>Ariya Savla</t>
        </is>
      </c>
      <c r="C636" s="6" t="inlineStr">
        <is>
          <t>ariya.savla@gmail.com</t>
        </is>
      </c>
      <c r="D636" s="21" t="n">
        <v>0.8058999999999999</v>
      </c>
      <c r="E636" s="22" t="n">
        <v>12.5861</v>
      </c>
      <c r="F636" s="23" t="n">
        <v>2</v>
      </c>
      <c r="G636" s="24">
        <f>D636*H636</f>
        <v>120.88499999999999</v>
      </c>
      <c r="H636" s="25" t="n">
        <v>150</v>
      </c>
    </row>
    <row r="637">
      <c r="A637" s="20" t="inlineStr">
        <is>
          <t>8b8399da-b671-4f71-97ff-fd5c872d3927</t>
        </is>
      </c>
      <c r="B637" s="4" t="inlineStr">
        <is>
          <t>Ariya Savla</t>
        </is>
      </c>
      <c r="C637" s="6" t="inlineStr">
        <is>
          <t>ariya.savla@gmail.com</t>
        </is>
      </c>
      <c r="D637" s="21" t="n">
        <v>0.895</v>
      </c>
      <c r="E637" s="22" t="n">
        <v>20.5568</v>
      </c>
      <c r="F637" s="23" t="n">
        <v>3</v>
      </c>
      <c r="G637" s="24">
        <f>D637*H637</f>
        <v>134.25</v>
      </c>
      <c r="H637" s="25" t="n">
        <v>150</v>
      </c>
    </row>
    <row r="638">
      <c r="A638" s="20" t="inlineStr">
        <is>
          <t>d628112d-779b-4254-a81a-4b999eeef123</t>
        </is>
      </c>
      <c r="B638" s="4" t="inlineStr">
        <is>
          <t>Ariya Savla</t>
        </is>
      </c>
      <c r="C638" s="6" t="inlineStr">
        <is>
          <t>ariya.savla@gmail.com</t>
        </is>
      </c>
      <c r="D638" s="21" t="n">
        <v>0.9308</v>
      </c>
      <c r="E638" s="22" t="n">
        <v>16.5276</v>
      </c>
      <c r="F638" s="23" t="n">
        <v>3</v>
      </c>
      <c r="G638" s="24">
        <f>D638*H638</f>
        <v>139.62</v>
      </c>
      <c r="H638" s="25" t="n">
        <v>150</v>
      </c>
    </row>
    <row r="639">
      <c r="A639" s="20" t="inlineStr">
        <is>
          <t>79a9b17c-11f0-4b54-9279-d5779bbc7ba0</t>
        </is>
      </c>
      <c r="B639" s="4" t="inlineStr">
        <is>
          <t>Ariya Savla</t>
        </is>
      </c>
      <c r="C639" s="6" t="inlineStr">
        <is>
          <t>ariya.savla@gmail.com</t>
        </is>
      </c>
      <c r="D639" s="21" t="n">
        <v>1.4567</v>
      </c>
      <c r="E639" s="22" t="n">
        <v>26.2805</v>
      </c>
      <c r="F639" s="23" t="n">
        <v>4</v>
      </c>
      <c r="G639" s="24">
        <f>D639*H639</f>
        <v>218.50500000000002</v>
      </c>
      <c r="H639" s="25" t="n">
        <v>150</v>
      </c>
    </row>
    <row r="640">
      <c r="A640" s="20" t="inlineStr">
        <is>
          <t>2ab4257c-0ed5-46cd-8df5-e33de7ee5ce5</t>
        </is>
      </c>
      <c r="B640" s="4" t="inlineStr">
        <is>
          <t>John Wang</t>
        </is>
      </c>
      <c r="C640" s="6" t="inlineStr">
        <is>
          <t>johnlwang7@gmail.com</t>
        </is>
      </c>
      <c r="D640" s="21" t="n">
        <v>0.0319</v>
      </c>
      <c r="E640" s="22" t="n">
        <v>0.7351</v>
      </c>
      <c r="F640" s="23" t="n">
        <v>1</v>
      </c>
      <c r="G640" s="24">
        <f>D640*H640</f>
        <v>5.5825</v>
      </c>
      <c r="H640" s="25" t="n">
        <v>175</v>
      </c>
    </row>
    <row r="641">
      <c r="A641" s="20" t="inlineStr">
        <is>
          <t>1d7abbf9-ca70-416c-b97b-3f588c56019d</t>
        </is>
      </c>
      <c r="B641" s="4" t="inlineStr">
        <is>
          <t>John Wang</t>
        </is>
      </c>
      <c r="C641" s="6" t="inlineStr">
        <is>
          <t>johnlwang7@gmail.com</t>
        </is>
      </c>
      <c r="D641" s="21" t="n">
        <v>0.033</v>
      </c>
      <c r="E641" s="22" t="n">
        <v>3.7105</v>
      </c>
      <c r="F641" s="23" t="n">
        <v>1</v>
      </c>
      <c r="G641" s="24">
        <f>D641*H641</f>
        <v>5.775</v>
      </c>
      <c r="H641" s="25" t="n">
        <v>175</v>
      </c>
    </row>
    <row r="642">
      <c r="A642" s="20" t="inlineStr">
        <is>
          <t>03013e70-b99b-43cd-8a29-3097338c8ca8</t>
        </is>
      </c>
      <c r="B642" s="4" t="inlineStr">
        <is>
          <t>John Wang</t>
        </is>
      </c>
      <c r="C642" s="6" t="inlineStr">
        <is>
          <t>johnlwang7@gmail.com</t>
        </is>
      </c>
      <c r="D642" s="21" t="n">
        <v>0.0399</v>
      </c>
      <c r="E642" s="22" t="n">
        <v>0.2926</v>
      </c>
      <c r="F642" s="23" t="n">
        <v>1</v>
      </c>
      <c r="G642" s="24">
        <f>D642*H642</f>
        <v>6.9825</v>
      </c>
      <c r="H642" s="25" t="n">
        <v>175</v>
      </c>
    </row>
    <row r="643">
      <c r="A643" s="20" t="inlineStr">
        <is>
          <t>2d85698a-b625-4e4e-82ae-dfa0d4e0cf97</t>
        </is>
      </c>
      <c r="B643" s="4" t="inlineStr">
        <is>
          <t>John Wang</t>
        </is>
      </c>
      <c r="C643" s="6" t="inlineStr">
        <is>
          <t>johnlwang7@gmail.com</t>
        </is>
      </c>
      <c r="D643" s="21" t="n">
        <v>0.0441</v>
      </c>
      <c r="E643" s="22" t="n">
        <v>0.6201</v>
      </c>
      <c r="F643" s="23" t="n">
        <v>1</v>
      </c>
      <c r="G643" s="24">
        <f>D643*H643</f>
        <v>7.7175</v>
      </c>
      <c r="H643" s="25" t="n">
        <v>175</v>
      </c>
    </row>
    <row r="644">
      <c r="A644" s="20" t="inlineStr">
        <is>
          <t>44cb82fe-53a0-433e-927e-ca3c61fa8ea5</t>
        </is>
      </c>
      <c r="B644" s="4" t="inlineStr">
        <is>
          <t>John Wang</t>
        </is>
      </c>
      <c r="C644" s="6" t="inlineStr">
        <is>
          <t>johnlwang7@gmail.com</t>
        </is>
      </c>
      <c r="D644" s="21" t="n">
        <v>0.0474</v>
      </c>
      <c r="E644" s="22" t="n">
        <v>0.7027</v>
      </c>
      <c r="F644" s="23" t="n">
        <v>1</v>
      </c>
      <c r="G644" s="24">
        <f>D644*H644</f>
        <v>8.295</v>
      </c>
      <c r="H644" s="25" t="n">
        <v>175</v>
      </c>
    </row>
    <row r="645">
      <c r="A645" s="20" t="inlineStr">
        <is>
          <t>764d8421-3175-4ace-ab12-5966b0cc1cfc</t>
        </is>
      </c>
      <c r="B645" s="4" t="inlineStr">
        <is>
          <t>John Wang</t>
        </is>
      </c>
      <c r="C645" s="6" t="inlineStr">
        <is>
          <t>johnlwang7@gmail.com</t>
        </is>
      </c>
      <c r="D645" s="21" t="n">
        <v>0.0698</v>
      </c>
      <c r="E645" s="22" t="n">
        <v>0.5635</v>
      </c>
      <c r="F645" s="23" t="n">
        <v>1</v>
      </c>
      <c r="G645" s="24">
        <f>D645*H645</f>
        <v>12.215</v>
      </c>
      <c r="H645" s="25" t="n">
        <v>175</v>
      </c>
    </row>
    <row r="646">
      <c r="A646" s="20" t="inlineStr">
        <is>
          <t>121a3ade-1950-42bf-9db2-d8afd66faadf</t>
        </is>
      </c>
      <c r="B646" s="4" t="inlineStr">
        <is>
          <t>John Wang</t>
        </is>
      </c>
      <c r="C646" s="6" t="inlineStr">
        <is>
          <t>johnlwang7@gmail.com</t>
        </is>
      </c>
      <c r="D646" s="21" t="n">
        <v>0.0837</v>
      </c>
      <c r="E646" s="22" t="n">
        <v>0.4236</v>
      </c>
      <c r="F646" s="23" t="n">
        <v>1</v>
      </c>
      <c r="G646" s="24">
        <f>D646*H646</f>
        <v>14.647499999999999</v>
      </c>
      <c r="H646" s="25" t="n">
        <v>175</v>
      </c>
    </row>
    <row r="647">
      <c r="A647" s="20" t="inlineStr">
        <is>
          <t>2f9d8788-645b-4be5-a79d-629d69731003</t>
        </is>
      </c>
      <c r="B647" s="4" t="inlineStr">
        <is>
          <t>John Wang</t>
        </is>
      </c>
      <c r="C647" s="6" t="inlineStr">
        <is>
          <t>johnlwang7@gmail.com</t>
        </is>
      </c>
      <c r="D647" s="21" t="n">
        <v>0.1064</v>
      </c>
      <c r="E647" s="22" t="n">
        <v>0.2687</v>
      </c>
      <c r="F647" s="23" t="n">
        <v>2</v>
      </c>
      <c r="G647" s="24">
        <f>D647*H647</f>
        <v>18.619999999999997</v>
      </c>
      <c r="H647" s="25" t="n">
        <v>175</v>
      </c>
    </row>
    <row r="648">
      <c r="A648" s="20" t="inlineStr">
        <is>
          <t>d946b788-a3cc-454a-b356-0e66eba7b95c</t>
        </is>
      </c>
      <c r="B648" s="4" t="inlineStr">
        <is>
          <t>John Wang</t>
        </is>
      </c>
      <c r="C648" s="6" t="inlineStr">
        <is>
          <t>johnlwang7@gmail.com</t>
        </is>
      </c>
      <c r="D648" s="21" t="n">
        <v>0.1112</v>
      </c>
      <c r="E648" s="22" t="n">
        <v>0.539</v>
      </c>
      <c r="F648" s="23" t="n">
        <v>1</v>
      </c>
      <c r="G648" s="24">
        <f>D648*H648</f>
        <v>19.459999999999997</v>
      </c>
      <c r="H648" s="25" t="n">
        <v>175</v>
      </c>
    </row>
    <row r="649">
      <c r="A649" s="20" t="inlineStr">
        <is>
          <t>af9e8320-0203-47fa-aef7-7688fec1adee</t>
        </is>
      </c>
      <c r="B649" s="4" t="inlineStr">
        <is>
          <t>John Wang</t>
        </is>
      </c>
      <c r="C649" s="6" t="inlineStr">
        <is>
          <t>johnlwang7@gmail.com</t>
        </is>
      </c>
      <c r="D649" s="21" t="n">
        <v>0.1385</v>
      </c>
      <c r="E649" s="22" t="n">
        <v>12.4848</v>
      </c>
      <c r="F649" s="23" t="n">
        <v>2</v>
      </c>
      <c r="G649" s="24">
        <f>D649*H649</f>
        <v>24.2375</v>
      </c>
      <c r="H649" s="25" t="n">
        <v>175</v>
      </c>
    </row>
    <row r="650">
      <c r="A650" s="20" t="inlineStr">
        <is>
          <t>a911d19a-ee9a-4868-aa93-dcb8ed4f9b6e</t>
        </is>
      </c>
      <c r="B650" s="4" t="inlineStr">
        <is>
          <t>John Wang</t>
        </is>
      </c>
      <c r="C650" s="6" t="inlineStr">
        <is>
          <t>johnlwang7@gmail.com</t>
        </is>
      </c>
      <c r="D650" s="21" t="n">
        <v>0.1967</v>
      </c>
      <c r="E650" s="22" t="n">
        <v>0.5478</v>
      </c>
      <c r="F650" s="23" t="n">
        <v>3</v>
      </c>
      <c r="G650" s="24">
        <f>D650*H650</f>
        <v>34.4225</v>
      </c>
      <c r="H650" s="25" t="n">
        <v>175</v>
      </c>
    </row>
    <row r="651">
      <c r="A651" s="20" t="inlineStr">
        <is>
          <t>e3619cb1-e8ab-4984-b435-c50a84d8ff6a</t>
        </is>
      </c>
      <c r="B651" s="4" t="inlineStr">
        <is>
          <t>John Wang</t>
        </is>
      </c>
      <c r="C651" s="6" t="inlineStr">
        <is>
          <t>johnlwang7@gmail.com</t>
        </is>
      </c>
      <c r="D651" s="21" t="n">
        <v>0.211</v>
      </c>
      <c r="E651" s="22" t="n">
        <v>9.784800000000001</v>
      </c>
      <c r="F651" s="23" t="n">
        <v>2</v>
      </c>
      <c r="G651" s="24">
        <f>D651*H651</f>
        <v>36.925</v>
      </c>
      <c r="H651" s="25" t="n">
        <v>175</v>
      </c>
    </row>
    <row r="652">
      <c r="A652" s="20" t="inlineStr">
        <is>
          <t>723a07f5-5211-48cd-bb69-9c59e1e6cca2</t>
        </is>
      </c>
      <c r="B652" s="4" t="inlineStr">
        <is>
          <t>John Wang</t>
        </is>
      </c>
      <c r="C652" s="6" t="inlineStr">
        <is>
          <t>johnlwang7@gmail.com</t>
        </is>
      </c>
      <c r="D652" s="21" t="n">
        <v>0.225</v>
      </c>
      <c r="E652" s="22" t="n">
        <v>0.7727000000000001</v>
      </c>
      <c r="F652" s="23" t="n">
        <v>1</v>
      </c>
      <c r="G652" s="24">
        <f>D652*H652</f>
        <v>39.375</v>
      </c>
      <c r="H652" s="25" t="n">
        <v>175</v>
      </c>
    </row>
    <row r="653">
      <c r="A653" s="20" t="inlineStr">
        <is>
          <t>844457b9-7784-4832-a5b2-e212987527d9</t>
        </is>
      </c>
      <c r="B653" s="4" t="inlineStr">
        <is>
          <t>John Wang</t>
        </is>
      </c>
      <c r="C653" s="6" t="inlineStr">
        <is>
          <t>johnlwang7@gmail.com</t>
        </is>
      </c>
      <c r="D653" s="21" t="n">
        <v>0.2306</v>
      </c>
      <c r="E653" s="22" t="n">
        <v>2.2987</v>
      </c>
      <c r="F653" s="23" t="n">
        <v>2</v>
      </c>
      <c r="G653" s="24">
        <f>D653*H653</f>
        <v>40.355</v>
      </c>
      <c r="H653" s="25" t="n">
        <v>175</v>
      </c>
    </row>
    <row r="654">
      <c r="A654" s="20" t="inlineStr">
        <is>
          <t>56806c4a-595a-4662-b985-5ef374e33a1e</t>
        </is>
      </c>
      <c r="B654" s="4" t="inlineStr">
        <is>
          <t>John Wang</t>
        </is>
      </c>
      <c r="C654" s="6" t="inlineStr">
        <is>
          <t>johnlwang7@gmail.com</t>
        </is>
      </c>
      <c r="D654" s="21" t="n">
        <v>0.3363</v>
      </c>
      <c r="E654" s="22" t="n">
        <v>12.5893</v>
      </c>
      <c r="F654" s="23" t="n">
        <v>2</v>
      </c>
      <c r="G654" s="24">
        <f>D654*H654</f>
        <v>58.8525</v>
      </c>
      <c r="H654" s="25" t="n">
        <v>175</v>
      </c>
    </row>
    <row r="655">
      <c r="A655" s="20" t="inlineStr">
        <is>
          <t>923a5c5a-8244-46e2-a9ff-ef1fd9481b03</t>
        </is>
      </c>
      <c r="B655" s="4" t="inlineStr">
        <is>
          <t>John Wang</t>
        </is>
      </c>
      <c r="C655" s="6" t="inlineStr">
        <is>
          <t>johnlwang7@gmail.com</t>
        </is>
      </c>
      <c r="D655" s="21" t="n">
        <v>0.3586</v>
      </c>
      <c r="E655" s="22" t="n">
        <v>16.6651</v>
      </c>
      <c r="F655" s="23" t="n">
        <v>3</v>
      </c>
      <c r="G655" s="24">
        <f>D655*H655</f>
        <v>62.754999999999995</v>
      </c>
      <c r="H655" s="25" t="n">
        <v>175</v>
      </c>
    </row>
    <row r="656">
      <c r="A656" s="20" t="inlineStr">
        <is>
          <t>58c50a0f-d56f-4a25-8c1d-9fb5338fb8ba</t>
        </is>
      </c>
      <c r="B656" s="4" t="inlineStr">
        <is>
          <t>John Wang</t>
        </is>
      </c>
      <c r="C656" s="6" t="inlineStr">
        <is>
          <t>johnlwang7@gmail.com</t>
        </is>
      </c>
      <c r="D656" s="21" t="n">
        <v>0.3686</v>
      </c>
      <c r="E656" s="22" t="n">
        <v>4.199</v>
      </c>
      <c r="F656" s="23" t="n">
        <v>3</v>
      </c>
      <c r="G656" s="24">
        <f>D656*H656</f>
        <v>64.505</v>
      </c>
      <c r="H656" s="25" t="n">
        <v>175</v>
      </c>
    </row>
    <row r="657">
      <c r="A657" s="20" t="inlineStr">
        <is>
          <t>5391d991-e751-4372-8fcd-ba737a89815b</t>
        </is>
      </c>
      <c r="B657" s="4" t="inlineStr">
        <is>
          <t>John Wang</t>
        </is>
      </c>
      <c r="C657" s="6" t="inlineStr">
        <is>
          <t>johnlwang7@gmail.com</t>
        </is>
      </c>
      <c r="D657" s="21" t="n">
        <v>0.4103</v>
      </c>
      <c r="E657" s="22" t="n">
        <v>22.9878</v>
      </c>
      <c r="F657" s="23" t="n">
        <v>3</v>
      </c>
      <c r="G657" s="24">
        <f>D657*H657</f>
        <v>71.8025</v>
      </c>
      <c r="H657" s="25" t="n">
        <v>175</v>
      </c>
    </row>
    <row r="658">
      <c r="A658" s="20" t="inlineStr">
        <is>
          <t>15f14809-9436-4129-8257-bb180ee31d75</t>
        </is>
      </c>
      <c r="B658" s="4" t="inlineStr">
        <is>
          <t>John Wang</t>
        </is>
      </c>
      <c r="C658" s="6" t="inlineStr">
        <is>
          <t>johnlwang7@gmail.com</t>
        </is>
      </c>
      <c r="D658" s="21" t="n">
        <v>0.4182</v>
      </c>
      <c r="E658" s="22" t="n">
        <v>24.7493</v>
      </c>
      <c r="F658" s="23" t="n">
        <v>4</v>
      </c>
      <c r="G658" s="24">
        <f>D658*H658</f>
        <v>73.185</v>
      </c>
      <c r="H658" s="25" t="n">
        <v>175</v>
      </c>
    </row>
    <row r="659">
      <c r="A659" s="20" t="inlineStr">
        <is>
          <t>c89b2f1a-83f3-47e6-ac07-46e911f683fc</t>
        </is>
      </c>
      <c r="B659" s="4" t="inlineStr">
        <is>
          <t>John Wang</t>
        </is>
      </c>
      <c r="C659" s="6" t="inlineStr">
        <is>
          <t>johnlwang7@gmail.com</t>
        </is>
      </c>
      <c r="D659" s="21" t="n">
        <v>0.4603</v>
      </c>
      <c r="E659" s="22" t="n">
        <v>14.9547</v>
      </c>
      <c r="F659" s="23" t="n">
        <v>5</v>
      </c>
      <c r="G659" s="24">
        <f>D659*H659</f>
        <v>80.5525</v>
      </c>
      <c r="H659" s="25" t="n">
        <v>175</v>
      </c>
    </row>
    <row r="660">
      <c r="A660" s="20" t="inlineStr">
        <is>
          <t>4a72ee4f-7f66-4488-a82c-77b1320c2822</t>
        </is>
      </c>
      <c r="B660" s="4" t="inlineStr">
        <is>
          <t>John Wang</t>
        </is>
      </c>
      <c r="C660" s="6" t="inlineStr">
        <is>
          <t>johnlwang7@gmail.com</t>
        </is>
      </c>
      <c r="D660" s="21" t="n">
        <v>0.4712</v>
      </c>
      <c r="E660" s="22" t="n">
        <v>16.4335</v>
      </c>
      <c r="F660" s="23" t="n">
        <v>3</v>
      </c>
      <c r="G660" s="24">
        <f>D660*H660</f>
        <v>82.46000000000001</v>
      </c>
      <c r="H660" s="25" t="n">
        <v>175</v>
      </c>
    </row>
    <row r="661">
      <c r="A661" s="20" t="inlineStr">
        <is>
          <t>5dc872a7-6682-498a-a09e-596900a76e82</t>
        </is>
      </c>
      <c r="B661" s="4" t="inlineStr">
        <is>
          <t>John Wang</t>
        </is>
      </c>
      <c r="C661" s="6" t="inlineStr">
        <is>
          <t>johnlwang7@gmail.com</t>
        </is>
      </c>
      <c r="D661" s="21" t="n">
        <v>0.4843</v>
      </c>
      <c r="E661" s="22" t="n">
        <v>12.3819</v>
      </c>
      <c r="F661" s="23" t="n">
        <v>3</v>
      </c>
      <c r="G661" s="24">
        <f>D661*H661</f>
        <v>84.7525</v>
      </c>
      <c r="H661" s="25" t="n">
        <v>175</v>
      </c>
    </row>
    <row r="662">
      <c r="A662" s="20" t="inlineStr">
        <is>
          <t>66ff8c8a-a3a4-433d-83e9-0113f0a694e2</t>
        </is>
      </c>
      <c r="B662" s="4" t="inlineStr">
        <is>
          <t>John Wang</t>
        </is>
      </c>
      <c r="C662" s="6" t="inlineStr">
        <is>
          <t>johnlwang7@gmail.com</t>
        </is>
      </c>
      <c r="D662" s="21" t="n">
        <v>0.486</v>
      </c>
      <c r="E662" s="22" t="n">
        <v>12.3476</v>
      </c>
      <c r="F662" s="23" t="n">
        <v>3</v>
      </c>
      <c r="G662" s="24">
        <f>D662*H662</f>
        <v>85.05</v>
      </c>
      <c r="H662" s="25" t="n">
        <v>175</v>
      </c>
    </row>
    <row r="663">
      <c r="A663" s="20" t="inlineStr">
        <is>
          <t>997fecc7-d324-4dc5-9609-b6bf82a7aad2</t>
        </is>
      </c>
      <c r="B663" s="4" t="inlineStr">
        <is>
          <t>John Wang</t>
        </is>
      </c>
      <c r="C663" s="6" t="inlineStr">
        <is>
          <t>johnlwang7@gmail.com</t>
        </is>
      </c>
      <c r="D663" s="21" t="n">
        <v>0.4944</v>
      </c>
      <c r="E663" s="22" t="n">
        <v>12.615</v>
      </c>
      <c r="F663" s="23" t="n">
        <v>2</v>
      </c>
      <c r="G663" s="24">
        <f>D663*H663</f>
        <v>86.52</v>
      </c>
      <c r="H663" s="25" t="n">
        <v>175</v>
      </c>
    </row>
    <row r="664">
      <c r="A664" s="20" t="inlineStr">
        <is>
          <t>f23ea4c5-1f90-4b96-80f0-be33cae0917b</t>
        </is>
      </c>
      <c r="B664" s="4" t="inlineStr">
        <is>
          <t>John Wang</t>
        </is>
      </c>
      <c r="C664" s="6" t="inlineStr">
        <is>
          <t>johnlwang7@gmail.com</t>
        </is>
      </c>
      <c r="D664" s="21" t="n">
        <v>0.5119</v>
      </c>
      <c r="E664" s="22" t="n">
        <v>16.7545</v>
      </c>
      <c r="F664" s="23" t="n">
        <v>7</v>
      </c>
      <c r="G664" s="24">
        <f>D664*H664</f>
        <v>89.58250000000001</v>
      </c>
      <c r="H664" s="25" t="n">
        <v>175</v>
      </c>
    </row>
    <row r="665">
      <c r="A665" s="20" t="inlineStr">
        <is>
          <t>f43f2b8a-586d-4fcd-9a51-f42cccd49695</t>
        </is>
      </c>
      <c r="B665" s="4" t="inlineStr">
        <is>
          <t>John Wang</t>
        </is>
      </c>
      <c r="C665" s="6" t="inlineStr">
        <is>
          <t>johnlwang7@gmail.com</t>
        </is>
      </c>
      <c r="D665" s="21" t="n">
        <v>0.5145</v>
      </c>
      <c r="E665" s="22" t="n">
        <v>1.3913</v>
      </c>
      <c r="F665" s="23" t="n">
        <v>2</v>
      </c>
      <c r="G665" s="24">
        <f>D665*H665</f>
        <v>90.0375</v>
      </c>
      <c r="H665" s="25" t="n">
        <v>175</v>
      </c>
    </row>
    <row r="666">
      <c r="A666" s="20" t="inlineStr">
        <is>
          <t>738d4134-2aa2-46e8-ae1c-04982a70664e</t>
        </is>
      </c>
      <c r="B666" s="4" t="inlineStr">
        <is>
          <t>John Wang</t>
        </is>
      </c>
      <c r="C666" s="6" t="inlineStr">
        <is>
          <t>johnlwang7@gmail.com</t>
        </is>
      </c>
      <c r="D666" s="21" t="n">
        <v>0.5215</v>
      </c>
      <c r="E666" s="22" t="n">
        <v>18.5647</v>
      </c>
      <c r="F666" s="23" t="n">
        <v>3</v>
      </c>
      <c r="G666" s="24">
        <f>D666*H666</f>
        <v>91.26249999999999</v>
      </c>
      <c r="H666" s="25" t="n">
        <v>175</v>
      </c>
    </row>
    <row r="667">
      <c r="A667" s="20" t="inlineStr">
        <is>
          <t>2259c5c8-23ef-404b-afdf-65bf1ec9cb6a</t>
        </is>
      </c>
      <c r="B667" s="4" t="inlineStr">
        <is>
          <t>John Wang</t>
        </is>
      </c>
      <c r="C667" s="6" t="inlineStr">
        <is>
          <t>johnlwang7@gmail.com</t>
        </is>
      </c>
      <c r="D667" s="21" t="n">
        <v>0.5341</v>
      </c>
      <c r="E667" s="22" t="n">
        <v>18.7478</v>
      </c>
      <c r="F667" s="23" t="n">
        <v>5</v>
      </c>
      <c r="G667" s="24">
        <f>D667*H667</f>
        <v>93.4675</v>
      </c>
      <c r="H667" s="25" t="n">
        <v>175</v>
      </c>
    </row>
    <row r="668">
      <c r="A668" s="20" t="inlineStr">
        <is>
          <t>752c755c-e50c-48c4-9718-7c2d9ab0376f</t>
        </is>
      </c>
      <c r="B668" s="4" t="inlineStr">
        <is>
          <t>John Wang</t>
        </is>
      </c>
      <c r="C668" s="6" t="inlineStr">
        <is>
          <t>johnlwang7@gmail.com</t>
        </is>
      </c>
      <c r="D668" s="21" t="n">
        <v>0.5389</v>
      </c>
      <c r="E668" s="22" t="n">
        <v>1.1191</v>
      </c>
      <c r="F668" s="23" t="n">
        <v>2</v>
      </c>
      <c r="G668" s="24">
        <f>D668*H668</f>
        <v>94.3075</v>
      </c>
      <c r="H668" s="25" t="n">
        <v>175</v>
      </c>
    </row>
    <row r="669">
      <c r="A669" s="20" t="inlineStr">
        <is>
          <t>b2b93673-387f-4b89-a36d-5430d3e1032a</t>
        </is>
      </c>
      <c r="B669" s="4" t="inlineStr">
        <is>
          <t>John Wang</t>
        </is>
      </c>
      <c r="C669" s="6" t="inlineStr">
        <is>
          <t>johnlwang7@gmail.com</t>
        </is>
      </c>
      <c r="D669" s="21" t="n">
        <v>0.5413</v>
      </c>
      <c r="E669" s="22" t="n">
        <v>33.3558</v>
      </c>
      <c r="F669" s="23" t="n">
        <v>7</v>
      </c>
      <c r="G669" s="24">
        <f>D669*H669</f>
        <v>94.7275</v>
      </c>
      <c r="H669" s="25" t="n">
        <v>175</v>
      </c>
    </row>
    <row r="670">
      <c r="A670" s="20" t="inlineStr">
        <is>
          <t>694858bd-e856-44c1-b522-d8ddab7c833c</t>
        </is>
      </c>
      <c r="B670" s="4" t="inlineStr">
        <is>
          <t>John Wang</t>
        </is>
      </c>
      <c r="C670" s="6" t="inlineStr">
        <is>
          <t>johnlwang7@gmail.com</t>
        </is>
      </c>
      <c r="D670" s="21" t="n">
        <v>0.5435</v>
      </c>
      <c r="E670" s="22" t="n">
        <v>0.5435</v>
      </c>
      <c r="F670" s="23" t="n">
        <v>1</v>
      </c>
      <c r="G670" s="24">
        <f>D670*H670</f>
        <v>95.1125</v>
      </c>
      <c r="H670" s="25" t="n">
        <v>175</v>
      </c>
    </row>
    <row r="671">
      <c r="A671" s="20" t="inlineStr">
        <is>
          <t>23d2a7e4-ac66-46c7-9690-60bc0b3431c8</t>
        </is>
      </c>
      <c r="B671" s="4" t="inlineStr">
        <is>
          <t>John Wang</t>
        </is>
      </c>
      <c r="C671" s="6" t="inlineStr">
        <is>
          <t>johnlwang7@gmail.com</t>
        </is>
      </c>
      <c r="D671" s="21" t="n">
        <v>0.5438</v>
      </c>
      <c r="E671" s="22" t="n">
        <v>6.2356</v>
      </c>
      <c r="F671" s="23" t="n">
        <v>2</v>
      </c>
      <c r="G671" s="24">
        <f>D671*H671</f>
        <v>95.16499999999999</v>
      </c>
      <c r="H671" s="25" t="n">
        <v>175</v>
      </c>
    </row>
    <row r="672">
      <c r="A672" s="20" t="inlineStr">
        <is>
          <t>2d713179-f181-4c62-ae5e-882c0cddc346</t>
        </is>
      </c>
      <c r="B672" s="4" t="inlineStr">
        <is>
          <t>John Wang</t>
        </is>
      </c>
      <c r="C672" s="6" t="inlineStr">
        <is>
          <t>johnlwang7@gmail.com</t>
        </is>
      </c>
      <c r="D672" s="21" t="n">
        <v>0.6105</v>
      </c>
      <c r="E672" s="22" t="n">
        <v>27.237</v>
      </c>
      <c r="F672" s="23" t="n">
        <v>6</v>
      </c>
      <c r="G672" s="24">
        <f>D672*H672</f>
        <v>106.8375</v>
      </c>
      <c r="H672" s="25" t="n">
        <v>175</v>
      </c>
    </row>
    <row r="673">
      <c r="A673" s="20" t="inlineStr">
        <is>
          <t>5e87d4f1-9146-4e34-b38a-745100e12461</t>
        </is>
      </c>
      <c r="B673" s="4" t="inlineStr">
        <is>
          <t>John Wang</t>
        </is>
      </c>
      <c r="C673" s="6" t="inlineStr">
        <is>
          <t>johnlwang7@gmail.com</t>
        </is>
      </c>
      <c r="D673" s="21" t="n">
        <v>0.6105</v>
      </c>
      <c r="E673" s="22" t="n">
        <v>14.4418</v>
      </c>
      <c r="F673" s="23" t="n">
        <v>5</v>
      </c>
      <c r="G673" s="24">
        <f>D673*H673</f>
        <v>106.8375</v>
      </c>
      <c r="H673" s="25" t="n">
        <v>175</v>
      </c>
    </row>
    <row r="674">
      <c r="A674" s="20" t="inlineStr">
        <is>
          <t>db839a7c-52b4-4e9a-94da-fbcd4ca21608</t>
        </is>
      </c>
      <c r="B674" s="4" t="inlineStr">
        <is>
          <t>John Wang</t>
        </is>
      </c>
      <c r="C674" s="6" t="inlineStr">
        <is>
          <t>johnlwang7@gmail.com</t>
        </is>
      </c>
      <c r="D674" s="21" t="n">
        <v>0.6598000000000001</v>
      </c>
      <c r="E674" s="22" t="n">
        <v>40.5309</v>
      </c>
      <c r="F674" s="23" t="n">
        <v>6</v>
      </c>
      <c r="G674" s="24">
        <f>D674*H674</f>
        <v>115.465</v>
      </c>
      <c r="H674" s="25" t="n">
        <v>175</v>
      </c>
    </row>
    <row r="675">
      <c r="A675" s="20" t="inlineStr">
        <is>
          <t>2007841f-5d4d-4873-b086-b90a24ca57ea</t>
        </is>
      </c>
      <c r="B675" s="4" t="inlineStr">
        <is>
          <t>John Wang</t>
        </is>
      </c>
      <c r="C675" s="6" t="inlineStr">
        <is>
          <t>johnlwang7@gmail.com</t>
        </is>
      </c>
      <c r="D675" s="21" t="n">
        <v>0.6705</v>
      </c>
      <c r="E675" s="22" t="n">
        <v>1.7072</v>
      </c>
      <c r="F675" s="23" t="n">
        <v>3</v>
      </c>
      <c r="G675" s="24">
        <f>D675*H675</f>
        <v>117.33749999999999</v>
      </c>
      <c r="H675" s="25" t="n">
        <v>175</v>
      </c>
    </row>
    <row r="676">
      <c r="A676" s="20" t="inlineStr">
        <is>
          <t>d51f50d4-a62e-433d-88fb-25fc854ef7a1</t>
        </is>
      </c>
      <c r="B676" s="4" t="inlineStr">
        <is>
          <t>John Wang</t>
        </is>
      </c>
      <c r="C676" s="6" t="inlineStr">
        <is>
          <t>johnlwang7@gmail.com</t>
        </is>
      </c>
      <c r="D676" s="21" t="n">
        <v>0.6746</v>
      </c>
      <c r="E676" s="22" t="n">
        <v>24.7888</v>
      </c>
      <c r="F676" s="23" t="n">
        <v>3</v>
      </c>
      <c r="G676" s="24">
        <f>D676*H676</f>
        <v>118.05499999999999</v>
      </c>
      <c r="H676" s="25" t="n">
        <v>175</v>
      </c>
    </row>
    <row r="677">
      <c r="A677" s="20" t="inlineStr">
        <is>
          <t>052b20d9-e32a-4880-972a-d6ebcc5c17e7</t>
        </is>
      </c>
      <c r="B677" s="4" t="inlineStr">
        <is>
          <t>John Wang</t>
        </is>
      </c>
      <c r="C677" s="6" t="inlineStr">
        <is>
          <t>johnlwang7@gmail.com</t>
        </is>
      </c>
      <c r="D677" s="21" t="n">
        <v>0.6954</v>
      </c>
      <c r="E677" s="22" t="n">
        <v>16.8844</v>
      </c>
      <c r="F677" s="23" t="n">
        <v>4</v>
      </c>
      <c r="G677" s="24">
        <f>D677*H677</f>
        <v>121.69500000000001</v>
      </c>
      <c r="H677" s="25" t="n">
        <v>175</v>
      </c>
    </row>
    <row r="678">
      <c r="A678" s="20" t="inlineStr">
        <is>
          <t>d174ca2e-4cd8-40ad-9515-a9b56c9e1ecd</t>
        </is>
      </c>
      <c r="B678" s="4" t="inlineStr">
        <is>
          <t>John Wang</t>
        </is>
      </c>
      <c r="C678" s="6" t="inlineStr">
        <is>
          <t>johnlwang7@gmail.com</t>
        </is>
      </c>
      <c r="D678" s="21" t="n">
        <v>0.7094</v>
      </c>
      <c r="E678" s="22" t="n">
        <v>15.6647</v>
      </c>
      <c r="F678" s="23" t="n">
        <v>2</v>
      </c>
      <c r="G678" s="24">
        <f>D678*H678</f>
        <v>124.14500000000001</v>
      </c>
      <c r="H678" s="25" t="n">
        <v>175</v>
      </c>
    </row>
    <row r="679">
      <c r="A679" s="20" t="inlineStr">
        <is>
          <t>d433206b-fc0b-418d-b1dd-59ac834701c5</t>
        </is>
      </c>
      <c r="B679" s="4" t="inlineStr">
        <is>
          <t>John Wang</t>
        </is>
      </c>
      <c r="C679" s="6" t="inlineStr">
        <is>
          <t>johnlwang7@gmail.com</t>
        </is>
      </c>
      <c r="D679" s="21" t="n">
        <v>0.7915</v>
      </c>
      <c r="E679" s="22" t="n">
        <v>25.1601</v>
      </c>
      <c r="F679" s="23" t="n">
        <v>4</v>
      </c>
      <c r="G679" s="24">
        <f>D679*H679</f>
        <v>138.5125</v>
      </c>
      <c r="H679" s="25" t="n">
        <v>175</v>
      </c>
    </row>
    <row r="680">
      <c r="A680" s="20" t="inlineStr">
        <is>
          <t>1b2709f2-74a4-4936-9355-f6737991326a</t>
        </is>
      </c>
      <c r="B680" s="4" t="inlineStr">
        <is>
          <t>John Wang</t>
        </is>
      </c>
      <c r="C680" s="6" t="inlineStr">
        <is>
          <t>johnlwang7@gmail.com</t>
        </is>
      </c>
      <c r="D680" s="21" t="n">
        <v>0.8032</v>
      </c>
      <c r="E680" s="22" t="n">
        <v>2.3442</v>
      </c>
      <c r="F680" s="23" t="n">
        <v>4</v>
      </c>
      <c r="G680" s="24">
        <f>D680*H680</f>
        <v>140.56</v>
      </c>
      <c r="H680" s="25" t="n">
        <v>175</v>
      </c>
    </row>
    <row r="681">
      <c r="A681" s="20" t="inlineStr">
        <is>
          <t>bba9d076-a1e2-4752-b0d9-97953fbb8285</t>
        </is>
      </c>
      <c r="B681" s="4" t="inlineStr">
        <is>
          <t>John Wang</t>
        </is>
      </c>
      <c r="C681" s="6" t="inlineStr">
        <is>
          <t>johnlwang7@gmail.com</t>
        </is>
      </c>
      <c r="D681" s="21" t="n">
        <v>0.8442</v>
      </c>
      <c r="E681" s="22" t="n">
        <v>27.2173</v>
      </c>
      <c r="F681" s="23" t="n">
        <v>4</v>
      </c>
      <c r="G681" s="24">
        <f>D681*H681</f>
        <v>147.73499999999999</v>
      </c>
      <c r="H681" s="25" t="n">
        <v>175</v>
      </c>
    </row>
    <row r="682">
      <c r="A682" s="20" t="inlineStr">
        <is>
          <t>8a08168a-e85d-489e-ba9a-808f3bef7db1</t>
        </is>
      </c>
      <c r="B682" s="4" t="inlineStr">
        <is>
          <t>John Wang</t>
        </is>
      </c>
      <c r="C682" s="6" t="inlineStr">
        <is>
          <t>johnlwang7@gmail.com</t>
        </is>
      </c>
      <c r="D682" s="21" t="n">
        <v>0.8645</v>
      </c>
      <c r="E682" s="22" t="n">
        <v>2.0374</v>
      </c>
      <c r="F682" s="23" t="n">
        <v>2</v>
      </c>
      <c r="G682" s="24">
        <f>D682*H682</f>
        <v>151.2875</v>
      </c>
      <c r="H682" s="25" t="n">
        <v>175</v>
      </c>
    </row>
    <row r="683">
      <c r="A683" s="20" t="inlineStr">
        <is>
          <t>4fed60cb-ff66-4dbc-ab56-3d7cef2ef1ac</t>
        </is>
      </c>
      <c r="B683" s="4" t="inlineStr">
        <is>
          <t>John Wang</t>
        </is>
      </c>
      <c r="C683" s="6" t="inlineStr">
        <is>
          <t>johnlwang7@gmail.com</t>
        </is>
      </c>
      <c r="D683" s="21" t="n">
        <v>0.8655</v>
      </c>
      <c r="E683" s="22" t="n">
        <v>2.2512</v>
      </c>
      <c r="F683" s="23" t="n">
        <v>2</v>
      </c>
      <c r="G683" s="24">
        <f>D683*H683</f>
        <v>151.4625</v>
      </c>
      <c r="H683" s="25" t="n">
        <v>175</v>
      </c>
    </row>
    <row r="684">
      <c r="A684" s="20" t="inlineStr">
        <is>
          <t>69402a13-ba56-45d9-89f6-527c1eb1e52f</t>
        </is>
      </c>
      <c r="B684" s="4" t="inlineStr">
        <is>
          <t>John Wang</t>
        </is>
      </c>
      <c r="C684" s="6" t="inlineStr">
        <is>
          <t>johnlwang7@gmail.com</t>
        </is>
      </c>
      <c r="D684" s="21" t="n">
        <v>0.8678</v>
      </c>
      <c r="E684" s="22" t="n">
        <v>12.3174</v>
      </c>
      <c r="F684" s="23" t="n">
        <v>3</v>
      </c>
      <c r="G684" s="24">
        <f>D684*H684</f>
        <v>151.865</v>
      </c>
      <c r="H684" s="25" t="n">
        <v>175</v>
      </c>
    </row>
    <row r="685">
      <c r="A685" s="20" t="inlineStr">
        <is>
          <t>4ca9de0b-dc18-44c5-84c1-24ddcf00ff6d</t>
        </is>
      </c>
      <c r="B685" s="4" t="inlineStr">
        <is>
          <t>John Wang</t>
        </is>
      </c>
      <c r="C685" s="6" t="inlineStr">
        <is>
          <t>johnlwang7@gmail.com</t>
        </is>
      </c>
      <c r="D685" s="21" t="n">
        <v>0.873</v>
      </c>
      <c r="E685" s="22" t="n">
        <v>13.4331</v>
      </c>
      <c r="F685" s="23" t="n">
        <v>4</v>
      </c>
      <c r="G685" s="24">
        <f>D685*H685</f>
        <v>152.775</v>
      </c>
      <c r="H685" s="25" t="n">
        <v>175</v>
      </c>
    </row>
    <row r="686">
      <c r="A686" s="20" t="inlineStr">
        <is>
          <t>d2b7587f-3623-4d8d-8623-7a5a3ad9054b</t>
        </is>
      </c>
      <c r="B686" s="4" t="inlineStr">
        <is>
          <t>John Wang</t>
        </is>
      </c>
      <c r="C686" s="6" t="inlineStr">
        <is>
          <t>johnlwang7@gmail.com</t>
        </is>
      </c>
      <c r="D686" s="21" t="n">
        <v>0.9443</v>
      </c>
      <c r="E686" s="22" t="n">
        <v>28.0028</v>
      </c>
      <c r="F686" s="23" t="n">
        <v>6</v>
      </c>
      <c r="G686" s="24">
        <f>D686*H686</f>
        <v>165.2525</v>
      </c>
      <c r="H686" s="25" t="n">
        <v>175</v>
      </c>
    </row>
    <row r="687">
      <c r="A687" s="20" t="inlineStr">
        <is>
          <t>82f463fc-fe99-4fa7-923d-43baf0a94718</t>
        </is>
      </c>
      <c r="B687" s="4" t="inlineStr">
        <is>
          <t>John Wang</t>
        </is>
      </c>
      <c r="C687" s="6" t="inlineStr">
        <is>
          <t>johnlwang7@gmail.com</t>
        </is>
      </c>
      <c r="D687" s="21" t="n">
        <v>0.9807</v>
      </c>
      <c r="E687" s="22" t="n">
        <v>25.4746</v>
      </c>
      <c r="F687" s="23" t="n">
        <v>4</v>
      </c>
      <c r="G687" s="24">
        <f>D687*H687</f>
        <v>171.6225</v>
      </c>
      <c r="H687" s="25" t="n">
        <v>175</v>
      </c>
    </row>
    <row r="688">
      <c r="A688" s="20" t="inlineStr">
        <is>
          <t>de1e846a-8c81-4620-99b8-fdf214b40290</t>
        </is>
      </c>
      <c r="B688" s="4" t="inlineStr">
        <is>
          <t>John Wang</t>
        </is>
      </c>
      <c r="C688" s="6" t="inlineStr">
        <is>
          <t>johnlwang7@gmail.com</t>
        </is>
      </c>
      <c r="D688" s="21" t="n">
        <v>1.0721</v>
      </c>
      <c r="E688" s="22" t="n">
        <v>16.5037</v>
      </c>
      <c r="F688" s="23" t="n">
        <v>5</v>
      </c>
      <c r="G688" s="24">
        <f>D688*H688</f>
        <v>187.6175</v>
      </c>
      <c r="H688" s="25" t="n">
        <v>175</v>
      </c>
    </row>
    <row r="689">
      <c r="A689" s="20" t="inlineStr">
        <is>
          <t>f596d6e4-c5e2-44e1-8d04-1d83c9d1d500</t>
        </is>
      </c>
      <c r="B689" s="4" t="inlineStr">
        <is>
          <t>John Wang</t>
        </is>
      </c>
      <c r="C689" s="6" t="inlineStr">
        <is>
          <t>johnlwang7@gmail.com</t>
        </is>
      </c>
      <c r="D689" s="21" t="n">
        <v>1.1167</v>
      </c>
      <c r="E689" s="22" t="n">
        <v>22.6548</v>
      </c>
      <c r="F689" s="23" t="n">
        <v>6</v>
      </c>
      <c r="G689" s="24">
        <f>D689*H689</f>
        <v>195.4225</v>
      </c>
      <c r="H689" s="25" t="n">
        <v>175</v>
      </c>
    </row>
    <row r="690">
      <c r="A690" s="20" t="inlineStr">
        <is>
          <t>a474b632-7b99-401c-95ce-bba07e931b3f</t>
        </is>
      </c>
      <c r="B690" s="4" t="inlineStr">
        <is>
          <t>John Wang</t>
        </is>
      </c>
      <c r="C690" s="6" t="inlineStr">
        <is>
          <t>johnlwang7@gmail.com</t>
        </is>
      </c>
      <c r="D690" s="21" t="n">
        <v>1.1492</v>
      </c>
      <c r="E690" s="22" t="n">
        <v>19.4327</v>
      </c>
      <c r="F690" s="23" t="n">
        <v>4</v>
      </c>
      <c r="G690" s="24">
        <f>D690*H690</f>
        <v>201.11</v>
      </c>
      <c r="H690" s="25" t="n">
        <v>175</v>
      </c>
    </row>
    <row r="691">
      <c r="A691" s="20" t="inlineStr">
        <is>
          <t>449d18d4-fbda-449a-91fa-4b9a842b06ca</t>
        </is>
      </c>
      <c r="B691" s="4" t="inlineStr">
        <is>
          <t>John Wang</t>
        </is>
      </c>
      <c r="C691" s="6" t="inlineStr">
        <is>
          <t>johnlwang7@gmail.com</t>
        </is>
      </c>
      <c r="D691" s="21" t="n">
        <v>1.1617</v>
      </c>
      <c r="E691" s="22" t="n">
        <v>2.8434</v>
      </c>
      <c r="F691" s="23" t="n">
        <v>2</v>
      </c>
      <c r="G691" s="24">
        <f>D691*H691</f>
        <v>203.29749999999999</v>
      </c>
      <c r="H691" s="25" t="n">
        <v>175</v>
      </c>
    </row>
    <row r="692">
      <c r="A692" s="20" t="inlineStr">
        <is>
          <t>b9513711-e004-4603-8352-78c853c032b2</t>
        </is>
      </c>
      <c r="B692" s="4" t="inlineStr">
        <is>
          <t>John Wang</t>
        </is>
      </c>
      <c r="C692" s="6" t="inlineStr">
        <is>
          <t>johnlwang7@gmail.com</t>
        </is>
      </c>
      <c r="D692" s="21" t="n">
        <v>1.1766</v>
      </c>
      <c r="E692" s="22" t="n">
        <v>29.7168</v>
      </c>
      <c r="F692" s="23" t="n">
        <v>4</v>
      </c>
      <c r="G692" s="24">
        <f>D692*H692</f>
        <v>205.90500000000003</v>
      </c>
      <c r="H692" s="25" t="n">
        <v>175</v>
      </c>
    </row>
    <row r="693">
      <c r="A693" s="20" t="inlineStr">
        <is>
          <t>8fbc971f-6a7b-4623-8cb5-1b31ae6db70a</t>
        </is>
      </c>
      <c r="B693" s="4" t="inlineStr">
        <is>
          <t>John Wang</t>
        </is>
      </c>
      <c r="C693" s="6" t="inlineStr">
        <is>
          <t>johnlwang7@gmail.com</t>
        </is>
      </c>
      <c r="D693" s="21" t="n">
        <v>1.1954</v>
      </c>
      <c r="E693" s="22" t="n">
        <v>29.6533</v>
      </c>
      <c r="F693" s="23" t="n">
        <v>7</v>
      </c>
      <c r="G693" s="24">
        <f>D693*H693</f>
        <v>209.195</v>
      </c>
      <c r="H693" s="25" t="n">
        <v>175</v>
      </c>
    </row>
    <row r="694">
      <c r="A694" s="20" t="inlineStr">
        <is>
          <t>05cd59a2-28b8-42c1-972d-e1704464976c</t>
        </is>
      </c>
      <c r="B694" s="4" t="inlineStr">
        <is>
          <t>John Wang</t>
        </is>
      </c>
      <c r="C694" s="6" t="inlineStr">
        <is>
          <t>johnlwang7@gmail.com</t>
        </is>
      </c>
      <c r="D694" s="21" t="n">
        <v>1.205</v>
      </c>
      <c r="E694" s="22" t="n">
        <v>24.353</v>
      </c>
      <c r="F694" s="23" t="n">
        <v>5</v>
      </c>
      <c r="G694" s="24">
        <f>D694*H694</f>
        <v>210.875</v>
      </c>
      <c r="H694" s="25" t="n">
        <v>175</v>
      </c>
    </row>
    <row r="695">
      <c r="A695" s="20" t="inlineStr">
        <is>
          <t>37ebe8b9-2e29-426e-8265-99caa9b8cb18</t>
        </is>
      </c>
      <c r="B695" s="4" t="inlineStr">
        <is>
          <t>John Wang</t>
        </is>
      </c>
      <c r="C695" s="6" t="inlineStr">
        <is>
          <t>johnlwang7@gmail.com</t>
        </is>
      </c>
      <c r="D695" s="21" t="n">
        <v>1.3108</v>
      </c>
      <c r="E695" s="22" t="n">
        <v>34.9078</v>
      </c>
      <c r="F695" s="23" t="n">
        <v>9</v>
      </c>
      <c r="G695" s="24">
        <f>D695*H695</f>
        <v>229.39</v>
      </c>
      <c r="H695" s="25" t="n">
        <v>175</v>
      </c>
    </row>
    <row r="696">
      <c r="A696" s="20" t="inlineStr">
        <is>
          <t>64d31daf-1999-4734-9991-3dd1dda1144f</t>
        </is>
      </c>
      <c r="B696" s="4" t="inlineStr">
        <is>
          <t>John Wang</t>
        </is>
      </c>
      <c r="C696" s="6" t="inlineStr">
        <is>
          <t>johnlwang7@gmail.com</t>
        </is>
      </c>
      <c r="D696" s="21" t="n">
        <v>1.362</v>
      </c>
      <c r="E696" s="22" t="n">
        <v>11.506</v>
      </c>
      <c r="F696" s="23" t="n">
        <v>5</v>
      </c>
      <c r="G696" s="24">
        <f>D696*H696</f>
        <v>238.35000000000002</v>
      </c>
      <c r="H696" s="25" t="n">
        <v>175</v>
      </c>
    </row>
    <row r="697">
      <c r="A697" s="20" t="inlineStr">
        <is>
          <t>6c91417e-6a01-45c0-a104-91b5b26bfebd</t>
        </is>
      </c>
      <c r="B697" s="4" t="inlineStr">
        <is>
          <t>John Wang</t>
        </is>
      </c>
      <c r="C697" s="6" t="inlineStr">
        <is>
          <t>johnlwang7@gmail.com</t>
        </is>
      </c>
      <c r="D697" s="21" t="n">
        <v>1.3707</v>
      </c>
      <c r="E697" s="22" t="n">
        <v>29.0241</v>
      </c>
      <c r="F697" s="23" t="n">
        <v>7</v>
      </c>
      <c r="G697" s="24">
        <f>D697*H697</f>
        <v>239.8725</v>
      </c>
      <c r="H697" s="25" t="n">
        <v>175</v>
      </c>
    </row>
    <row r="698">
      <c r="A698" s="20" t="inlineStr">
        <is>
          <t>5021a8b1-a95a-49d2-a8ce-2a9e83edbb30</t>
        </is>
      </c>
      <c r="B698" s="4" t="inlineStr">
        <is>
          <t>John Wang</t>
        </is>
      </c>
      <c r="C698" s="6" t="inlineStr">
        <is>
          <t>johnlwang7@gmail.com</t>
        </is>
      </c>
      <c r="D698" s="21" t="n">
        <v>1.4675</v>
      </c>
      <c r="E698" s="22" t="n">
        <v>37.7815</v>
      </c>
      <c r="F698" s="23" t="n">
        <v>8</v>
      </c>
      <c r="G698" s="24">
        <f>D698*H698</f>
        <v>256.8125</v>
      </c>
      <c r="H698" s="25" t="n">
        <v>175</v>
      </c>
    </row>
    <row r="699">
      <c r="A699" s="20" t="inlineStr">
        <is>
          <t>de966497-2bae-439e-ad73-7462b982cbc1</t>
        </is>
      </c>
      <c r="B699" s="4" t="inlineStr">
        <is>
          <t>John Wang</t>
        </is>
      </c>
      <c r="C699" s="6" t="inlineStr">
        <is>
          <t>johnlwang7@gmail.com</t>
        </is>
      </c>
      <c r="D699" s="21" t="n">
        <v>1.7648</v>
      </c>
      <c r="E699" s="22" t="n">
        <v>14.7214</v>
      </c>
      <c r="F699" s="23" t="n">
        <v>4</v>
      </c>
      <c r="G699" s="24">
        <f>D699*H699</f>
        <v>308.84</v>
      </c>
      <c r="H699" s="25" t="n">
        <v>175</v>
      </c>
    </row>
    <row r="700">
      <c r="A700" s="20" t="inlineStr">
        <is>
          <t>d49bd69b-1ee3-4b5a-95db-656da8f03b0d</t>
        </is>
      </c>
      <c r="B700" s="4" t="inlineStr">
        <is>
          <t>John Wang</t>
        </is>
      </c>
      <c r="C700" s="6" t="inlineStr">
        <is>
          <t>johnlwang7@gmail.com</t>
        </is>
      </c>
      <c r="D700" s="21" t="n">
        <v>1.8717</v>
      </c>
      <c r="E700" s="22" t="n">
        <v>40.7605</v>
      </c>
      <c r="F700" s="23" t="n">
        <v>6</v>
      </c>
      <c r="G700" s="24">
        <f>D700*H700</f>
        <v>327.5475</v>
      </c>
      <c r="H700" s="25" t="n">
        <v>175</v>
      </c>
    </row>
    <row r="701">
      <c r="A701" s="20" t="inlineStr">
        <is>
          <t>97dcf3f8-578e-4da1-90e6-ad4f9347971f</t>
        </is>
      </c>
      <c r="B701" s="4" t="inlineStr">
        <is>
          <t>John Wang</t>
        </is>
      </c>
      <c r="C701" s="6" t="inlineStr">
        <is>
          <t>johnlwang7@gmail.com</t>
        </is>
      </c>
      <c r="D701" s="21" t="n">
        <v>1.9361</v>
      </c>
      <c r="E701" s="22" t="n">
        <v>43.588</v>
      </c>
      <c r="F701" s="23" t="n">
        <v>8</v>
      </c>
      <c r="G701" s="24">
        <f>D701*H701</f>
        <v>338.8175</v>
      </c>
      <c r="H701" s="25" t="n">
        <v>175</v>
      </c>
    </row>
    <row r="702">
      <c r="A702" s="20" t="inlineStr">
        <is>
          <t>1bb74354-f3c3-452c-a4e8-04812d5d6bce</t>
        </is>
      </c>
      <c r="B702" s="4" t="inlineStr">
        <is>
          <t>John Wang</t>
        </is>
      </c>
      <c r="C702" s="6" t="inlineStr">
        <is>
          <t>johnlwang7@gmail.com</t>
        </is>
      </c>
      <c r="D702" s="21" t="n">
        <v>2.0382</v>
      </c>
      <c r="E702" s="22" t="n">
        <v>45.9145</v>
      </c>
      <c r="F702" s="23" t="n">
        <v>9</v>
      </c>
      <c r="G702" s="24">
        <f>D702*H702</f>
        <v>356.68499999999995</v>
      </c>
      <c r="H702" s="25" t="n">
        <v>175</v>
      </c>
    </row>
    <row r="703">
      <c r="A703" s="20" t="inlineStr">
        <is>
          <t>2b8002c3-d726-4909-a193-381ab59f769e</t>
        </is>
      </c>
      <c r="B703" s="4" t="inlineStr">
        <is>
          <t>John Wang</t>
        </is>
      </c>
      <c r="C703" s="6" t="inlineStr">
        <is>
          <t>johnlwang7@gmail.com</t>
        </is>
      </c>
      <c r="D703" s="21" t="n">
        <v>2.2172</v>
      </c>
      <c r="E703" s="22" t="n">
        <v>31.3911</v>
      </c>
      <c r="F703" s="23" t="n">
        <v>7</v>
      </c>
      <c r="G703" s="24">
        <f>D703*H703</f>
        <v>388.01</v>
      </c>
      <c r="H703" s="25" t="n">
        <v>175</v>
      </c>
    </row>
    <row r="704">
      <c r="A704" s="20" t="inlineStr">
        <is>
          <t>00724edf-a3ce-4ae3-9454-b23475f3ce85</t>
        </is>
      </c>
      <c r="B704" s="4" t="inlineStr">
        <is>
          <t>John Wang</t>
        </is>
      </c>
      <c r="C704" s="6" t="inlineStr">
        <is>
          <t>johnlwang7@gmail.com</t>
        </is>
      </c>
      <c r="D704" s="21" t="n">
        <v>2.3404</v>
      </c>
      <c r="E704" s="22" t="n">
        <v>13.7017</v>
      </c>
      <c r="F704" s="23" t="n">
        <v>5</v>
      </c>
      <c r="G704" s="24">
        <f>D704*H704</f>
        <v>409.57</v>
      </c>
      <c r="H704" s="25" t="n">
        <v>175</v>
      </c>
    </row>
    <row r="705">
      <c r="A705" s="20" t="inlineStr">
        <is>
          <t>46ce4bce-ef8f-4923-946c-72be8ecd4f1a</t>
        </is>
      </c>
      <c r="B705" s="4" t="inlineStr">
        <is>
          <t>John Wang</t>
        </is>
      </c>
      <c r="C705" s="6" t="inlineStr">
        <is>
          <t>johnlwang7@gmail.com</t>
        </is>
      </c>
      <c r="D705" s="21" t="n">
        <v>2.4651</v>
      </c>
      <c r="E705" s="22" t="n">
        <v>12.7192</v>
      </c>
      <c r="F705" s="23" t="n">
        <v>2</v>
      </c>
      <c r="G705" s="24">
        <f>D705*H705</f>
        <v>431.3925</v>
      </c>
      <c r="H705" s="25" t="n">
        <v>175</v>
      </c>
    </row>
    <row r="706">
      <c r="A706" s="20" t="inlineStr">
        <is>
          <t>e76a0ebe-20de-4280-bc01-c6f56bcdf8de</t>
        </is>
      </c>
      <c r="B706" s="4" t="inlineStr">
        <is>
          <t>John Wang</t>
        </is>
      </c>
      <c r="C706" s="6" t="inlineStr">
        <is>
          <t>johnlwang7@gmail.com</t>
        </is>
      </c>
      <c r="D706" s="21" t="n">
        <v>2.5279</v>
      </c>
      <c r="E706" s="22" t="n">
        <v>63.5701</v>
      </c>
      <c r="F706" s="23" t="n">
        <v>18</v>
      </c>
      <c r="G706" s="24">
        <f>D706*H706</f>
        <v>442.3825</v>
      </c>
      <c r="H706" s="25" t="n">
        <v>175</v>
      </c>
    </row>
    <row r="707">
      <c r="A707" s="20" t="inlineStr">
        <is>
          <t>7cdc9bee-a595-4fa6-94bb-5106abc21376</t>
        </is>
      </c>
      <c r="B707" s="4" t="inlineStr">
        <is>
          <t>John Wang</t>
        </is>
      </c>
      <c r="C707" s="6" t="inlineStr">
        <is>
          <t>johnlwang7@gmail.com</t>
        </is>
      </c>
      <c r="D707" s="21" t="n">
        <v>13.7016</v>
      </c>
      <c r="E707" s="22" t="n">
        <v>50.6347</v>
      </c>
      <c r="F707" s="23" t="n">
        <v>6</v>
      </c>
      <c r="G707" s="24">
        <f>D707*H707</f>
        <v>2397.7799999999997</v>
      </c>
      <c r="H707" s="25" t="n">
        <v>175</v>
      </c>
    </row>
    <row r="708">
      <c r="A708" s="20" t="inlineStr">
        <is>
          <t>a4699723-4294-4ff4-ad68-593eb33cf91e</t>
        </is>
      </c>
      <c r="B708" s="4" t="inlineStr">
        <is>
          <t>Mitchell Kimball</t>
        </is>
      </c>
      <c r="C708" s="6" t="inlineStr">
        <is>
          <t>kimball.mitch@gmail.com</t>
        </is>
      </c>
      <c r="D708" s="21" t="n">
        <v>0.6796</v>
      </c>
      <c r="E708" s="22" t="n">
        <v>1.2783</v>
      </c>
      <c r="F708" s="23" t="n">
        <v>1</v>
      </c>
      <c r="G708" s="24">
        <f>D708*H708</f>
        <v>118.92999999999999</v>
      </c>
      <c r="H708" s="25" t="n">
        <v>175</v>
      </c>
    </row>
    <row r="709">
      <c r="A709" s="20" t="inlineStr">
        <is>
          <t>b77a3d7d-91fa-4226-b690-c91656e57429</t>
        </is>
      </c>
      <c r="B709" s="4" t="inlineStr">
        <is>
          <t>Caroline Rawe</t>
        </is>
      </c>
      <c r="C709" s="6" t="inlineStr">
        <is>
          <t>cmrawe@gmail.com</t>
        </is>
      </c>
      <c r="D709" s="21" t="n">
        <v>0.2393</v>
      </c>
      <c r="E709" s="22" t="n">
        <v>0.3248</v>
      </c>
      <c r="F709" s="23" t="n">
        <v>1</v>
      </c>
      <c r="G709" s="24">
        <f>D709*H709</f>
        <v>35.895</v>
      </c>
      <c r="H709" s="25" t="n">
        <v>150</v>
      </c>
    </row>
    <row r="710">
      <c r="A710" s="20" t="inlineStr">
        <is>
          <t>9addd2e7-0bbf-4c63-a52a-9124d0a3ba5b</t>
        </is>
      </c>
      <c r="B710" s="4" t="inlineStr">
        <is>
          <t>Caroline Rawe</t>
        </is>
      </c>
      <c r="C710" s="6" t="inlineStr">
        <is>
          <t>cmrawe@gmail.com</t>
        </is>
      </c>
      <c r="D710" s="21" t="n">
        <v>0.6977</v>
      </c>
      <c r="E710" s="22" t="n">
        <v>17.6317</v>
      </c>
      <c r="F710" s="23" t="n">
        <v>5</v>
      </c>
      <c r="G710" s="24">
        <f>D710*H710</f>
        <v>104.655</v>
      </c>
      <c r="H710" s="25" t="n">
        <v>150</v>
      </c>
    </row>
    <row r="711">
      <c r="A711" s="20" t="inlineStr">
        <is>
          <t>2f64d166-50e6-4534-baeb-1391808a8fd7</t>
        </is>
      </c>
      <c r="B711" s="4" t="inlineStr">
        <is>
          <t>Caroline Rawe</t>
        </is>
      </c>
      <c r="C711" s="6" t="inlineStr">
        <is>
          <t>cmrawe@gmail.com</t>
        </is>
      </c>
      <c r="D711" s="21" t="n">
        <v>0.7855</v>
      </c>
      <c r="E711" s="22" t="n">
        <v>16.5909</v>
      </c>
      <c r="F711" s="23" t="n">
        <v>4</v>
      </c>
      <c r="G711" s="24">
        <f>D711*H711</f>
        <v>117.825</v>
      </c>
      <c r="H711" s="25" t="n">
        <v>150</v>
      </c>
    </row>
    <row r="712">
      <c r="A712" s="20" t="inlineStr">
        <is>
          <t>6dd2d85e-9f86-4957-8581-525d369556ad</t>
        </is>
      </c>
      <c r="B712" s="4" t="inlineStr">
        <is>
          <t>Liam Tuohy</t>
        </is>
      </c>
      <c r="C712" s="6" t="inlineStr">
        <is>
          <t>liamtuohy22@gmail.com</t>
        </is>
      </c>
      <c r="D712" s="21" t="n">
        <v>0.0609</v>
      </c>
      <c r="E712" s="22" t="n">
        <v>11.4964</v>
      </c>
      <c r="F712" s="23" t="n">
        <v>2</v>
      </c>
      <c r="G712" s="24">
        <f>D712*H712</f>
        <v>9.135</v>
      </c>
      <c r="H712" s="25" t="n">
        <v>150</v>
      </c>
    </row>
    <row r="713">
      <c r="A713" s="20" t="inlineStr">
        <is>
          <t>c2375c81-df0f-4dec-86b2-72806c372471</t>
        </is>
      </c>
      <c r="B713" s="4" t="inlineStr">
        <is>
          <t>Liam Tuohy</t>
        </is>
      </c>
      <c r="C713" s="6" t="inlineStr">
        <is>
          <t>liamtuohy22@gmail.com</t>
        </is>
      </c>
      <c r="D713" s="21" t="n">
        <v>0.0653</v>
      </c>
      <c r="E713" s="22" t="n">
        <v>5.3184</v>
      </c>
      <c r="F713" s="23" t="n">
        <v>2</v>
      </c>
      <c r="G713" s="24">
        <f>D713*H713</f>
        <v>9.795</v>
      </c>
      <c r="H713" s="25" t="n">
        <v>150</v>
      </c>
    </row>
    <row r="714">
      <c r="A714" s="20" t="inlineStr">
        <is>
          <t>7b4ed258-763b-4f8d-8b57-e7835d96d9c5</t>
        </is>
      </c>
      <c r="B714" s="4" t="inlineStr">
        <is>
          <t>Liam Tuohy</t>
        </is>
      </c>
      <c r="C714" s="6" t="inlineStr">
        <is>
          <t>liamtuohy22@gmail.com</t>
        </is>
      </c>
      <c r="D714" s="21" t="n">
        <v>0.0684</v>
      </c>
      <c r="E714" s="22" t="n">
        <v>0.9843</v>
      </c>
      <c r="F714" s="23" t="n">
        <v>4</v>
      </c>
      <c r="G714" s="24">
        <f>D714*H714</f>
        <v>10.26</v>
      </c>
      <c r="H714" s="25" t="n">
        <v>150</v>
      </c>
    </row>
    <row r="715">
      <c r="A715" s="20" t="inlineStr">
        <is>
          <t>e6191768-e14e-4eaa-83a5-85cf0bc665be</t>
        </is>
      </c>
      <c r="B715" s="4" t="inlineStr">
        <is>
          <t>Liam Tuohy</t>
        </is>
      </c>
      <c r="C715" s="6" t="inlineStr">
        <is>
          <t>liamtuohy22@gmail.com</t>
        </is>
      </c>
      <c r="D715" s="21" t="n">
        <v>0.0709</v>
      </c>
      <c r="E715" s="22" t="n">
        <v>3.2021</v>
      </c>
      <c r="F715" s="23" t="n">
        <v>1</v>
      </c>
      <c r="G715" s="24">
        <f>D715*H715</f>
        <v>10.635000000000002</v>
      </c>
      <c r="H715" s="25" t="n">
        <v>150</v>
      </c>
    </row>
    <row r="716">
      <c r="A716" s="20" t="inlineStr">
        <is>
          <t>4a9a0b2c-8a1f-4373-97be-284b3659c795</t>
        </is>
      </c>
      <c r="B716" s="4" t="inlineStr">
        <is>
          <t>Liam Tuohy</t>
        </is>
      </c>
      <c r="C716" s="6" t="inlineStr">
        <is>
          <t>liamtuohy22@gmail.com</t>
        </is>
      </c>
      <c r="D716" s="21" t="n">
        <v>0.0887</v>
      </c>
      <c r="E716" s="22" t="n">
        <v>16.617</v>
      </c>
      <c r="F716" s="23" t="n">
        <v>4</v>
      </c>
      <c r="G716" s="24">
        <f>D716*H716</f>
        <v>13.305</v>
      </c>
      <c r="H716" s="25" t="n">
        <v>150</v>
      </c>
    </row>
    <row r="717">
      <c r="A717" s="20" t="inlineStr">
        <is>
          <t>384a0b8c-7efd-4d53-927d-be9a46a87112</t>
        </is>
      </c>
      <c r="B717" s="4" t="inlineStr">
        <is>
          <t>Liam Tuohy</t>
        </is>
      </c>
      <c r="C717" s="6" t="inlineStr">
        <is>
          <t>liamtuohy22@gmail.com</t>
        </is>
      </c>
      <c r="D717" s="21" t="n">
        <v>0.1192</v>
      </c>
      <c r="E717" s="22" t="n">
        <v>1.2161</v>
      </c>
      <c r="F717" s="23" t="n">
        <v>4</v>
      </c>
      <c r="G717" s="24">
        <f>D717*H717</f>
        <v>17.88</v>
      </c>
      <c r="H717" s="25" t="n">
        <v>150</v>
      </c>
    </row>
    <row r="718">
      <c r="A718" s="20" t="inlineStr">
        <is>
          <t>c170e3d2-d7ff-4421-98e7-adfa0c9e6f11</t>
        </is>
      </c>
      <c r="B718" s="4" t="inlineStr">
        <is>
          <t>Liam Tuohy</t>
        </is>
      </c>
      <c r="C718" s="6" t="inlineStr">
        <is>
          <t>liamtuohy22@gmail.com</t>
        </is>
      </c>
      <c r="D718" s="21" t="n">
        <v>0.1609</v>
      </c>
      <c r="E718" s="22" t="n">
        <v>2.684</v>
      </c>
      <c r="F718" s="23" t="n">
        <v>1</v>
      </c>
      <c r="G718" s="24">
        <f>D718*H718</f>
        <v>24.134999999999998</v>
      </c>
      <c r="H718" s="25" t="n">
        <v>150</v>
      </c>
    </row>
    <row r="719">
      <c r="A719" s="20" t="inlineStr">
        <is>
          <t>94d138a4-608f-4c40-9ee0-165ddb40af39</t>
        </is>
      </c>
      <c r="B719" s="4" t="inlineStr">
        <is>
          <t>Liam Tuohy</t>
        </is>
      </c>
      <c r="C719" s="6" t="inlineStr">
        <is>
          <t>liamtuohy22@gmail.com</t>
        </is>
      </c>
      <c r="D719" s="21" t="n">
        <v>0.2212</v>
      </c>
      <c r="E719" s="22" t="n">
        <v>13.2999</v>
      </c>
      <c r="F719" s="23" t="n">
        <v>3</v>
      </c>
      <c r="G719" s="24">
        <f>D719*H719</f>
        <v>33.18</v>
      </c>
      <c r="H719" s="25" t="n">
        <v>150</v>
      </c>
    </row>
    <row r="720">
      <c r="A720" s="20" t="inlineStr">
        <is>
          <t>04ffa74d-a55e-4992-8c9f-6232cc1bfbca</t>
        </is>
      </c>
      <c r="B720" s="4" t="inlineStr">
        <is>
          <t>Liam Tuohy</t>
        </is>
      </c>
      <c r="C720" s="6" t="inlineStr">
        <is>
          <t>liamtuohy22@gmail.com</t>
        </is>
      </c>
      <c r="D720" s="21" t="n">
        <v>0.2733</v>
      </c>
      <c r="E720" s="22" t="n">
        <v>12.1881</v>
      </c>
      <c r="F720" s="23" t="n">
        <v>3</v>
      </c>
      <c r="G720" s="24">
        <f>D720*H720</f>
        <v>40.995</v>
      </c>
      <c r="H720" s="25" t="n">
        <v>150</v>
      </c>
    </row>
    <row r="721">
      <c r="A721" s="20" t="inlineStr">
        <is>
          <t>90170e93-8506-499d-87b4-f7a22f2709d8</t>
        </is>
      </c>
      <c r="B721" s="4" t="inlineStr">
        <is>
          <t>Liam Tuohy</t>
        </is>
      </c>
      <c r="C721" s="6" t="inlineStr">
        <is>
          <t>liamtuohy22@gmail.com</t>
        </is>
      </c>
      <c r="D721" s="21" t="n">
        <v>0.3</v>
      </c>
      <c r="E721" s="22" t="n">
        <v>23.5284</v>
      </c>
      <c r="F721" s="23" t="n">
        <v>6</v>
      </c>
      <c r="G721" s="24">
        <f>D721*H721</f>
        <v>45.0</v>
      </c>
      <c r="H721" s="25" t="n">
        <v>150</v>
      </c>
    </row>
    <row r="722">
      <c r="A722" s="20" t="inlineStr">
        <is>
          <t>8c8810ad-f864-49e6-be2b-ad1a9ef95644</t>
        </is>
      </c>
      <c r="B722" s="4" t="inlineStr">
        <is>
          <t>Liam Tuohy</t>
        </is>
      </c>
      <c r="C722" s="6" t="inlineStr">
        <is>
          <t>liamtuohy22@gmail.com</t>
        </is>
      </c>
      <c r="D722" s="21" t="n">
        <v>0.4452</v>
      </c>
      <c r="E722" s="22" t="n">
        <v>25.7611</v>
      </c>
      <c r="F722" s="23" t="n">
        <v>6</v>
      </c>
      <c r="G722" s="24">
        <f>D722*H722</f>
        <v>66.78</v>
      </c>
      <c r="H722" s="25" t="n">
        <v>150</v>
      </c>
    </row>
    <row r="723">
      <c r="A723" s="20" t="inlineStr">
        <is>
          <t>163ec166-0b0b-413f-90ba-e9981951120c</t>
        </is>
      </c>
      <c r="B723" s="4" t="inlineStr">
        <is>
          <t>Liam Tuohy</t>
        </is>
      </c>
      <c r="C723" s="6" t="inlineStr">
        <is>
          <t>liamtuohy22@gmail.com</t>
        </is>
      </c>
      <c r="D723" s="21" t="n">
        <v>0.5938</v>
      </c>
      <c r="E723" s="22" t="n">
        <v>24.2368</v>
      </c>
      <c r="F723" s="23" t="n">
        <v>4</v>
      </c>
      <c r="G723" s="24">
        <f>D723*H723</f>
        <v>89.07</v>
      </c>
      <c r="H723" s="25" t="n">
        <v>150</v>
      </c>
    </row>
    <row r="724">
      <c r="A724" s="20" t="inlineStr">
        <is>
          <t>f609cd13-85b2-42e2-a72a-5d7a578cb28c</t>
        </is>
      </c>
      <c r="B724" s="4" t="inlineStr">
        <is>
          <t>Liam Tuohy</t>
        </is>
      </c>
      <c r="C724" s="6" t="inlineStr">
        <is>
          <t>liamtuohy22@gmail.com</t>
        </is>
      </c>
      <c r="D724" s="21" t="n">
        <v>0.7040999999999999</v>
      </c>
      <c r="E724" s="22" t="n">
        <v>46.47</v>
      </c>
      <c r="F724" s="23" t="n">
        <v>10</v>
      </c>
      <c r="G724" s="24">
        <f>D724*H724</f>
        <v>105.615</v>
      </c>
      <c r="H724" s="25" t="n">
        <v>150</v>
      </c>
    </row>
    <row r="725">
      <c r="A725" s="20" t="inlineStr">
        <is>
          <t>44b8c79c-5247-4870-ab39-19b81540f1f9</t>
        </is>
      </c>
      <c r="B725" s="4" t="inlineStr">
        <is>
          <t>Liam Tuohy</t>
        </is>
      </c>
      <c r="C725" s="6" t="inlineStr">
        <is>
          <t>liamtuohy22@gmail.com</t>
        </is>
      </c>
      <c r="D725" s="21" t="n">
        <v>0.7673</v>
      </c>
      <c r="E725" s="22" t="n">
        <v>13.5459</v>
      </c>
      <c r="F725" s="23" t="n">
        <v>4</v>
      </c>
      <c r="G725" s="24">
        <f>D725*H725</f>
        <v>115.095</v>
      </c>
      <c r="H725" s="25" t="n">
        <v>150</v>
      </c>
    </row>
    <row r="726">
      <c r="A726" s="20" t="inlineStr">
        <is>
          <t>56144a80-e360-4c4f-8d37-553ad2943b17</t>
        </is>
      </c>
      <c r="B726" s="4" t="inlineStr">
        <is>
          <t>Liam Tuohy</t>
        </is>
      </c>
      <c r="C726" s="6" t="inlineStr">
        <is>
          <t>liamtuohy22@gmail.com</t>
        </is>
      </c>
      <c r="D726" s="21" t="n">
        <v>1.2615</v>
      </c>
      <c r="E726" s="22" t="n">
        <v>38.045</v>
      </c>
      <c r="F726" s="23" t="n">
        <v>9</v>
      </c>
      <c r="G726" s="24">
        <f>D726*H726</f>
        <v>189.22500000000002</v>
      </c>
      <c r="H726" s="25" t="n">
        <v>150</v>
      </c>
    </row>
    <row r="727">
      <c r="A727" s="20" t="inlineStr">
        <is>
          <t>b9769edf-5dd3-476b-84e1-6139ab10a3b4</t>
        </is>
      </c>
      <c r="B727" s="4" t="inlineStr">
        <is>
          <t>Liam Tuohy</t>
        </is>
      </c>
      <c r="C727" s="6" t="inlineStr">
        <is>
          <t>liamtuohy22@gmail.com</t>
        </is>
      </c>
      <c r="D727" s="21" t="n">
        <v>1.2748</v>
      </c>
      <c r="E727" s="22" t="n">
        <v>24.5139</v>
      </c>
      <c r="F727" s="23" t="n">
        <v>3</v>
      </c>
      <c r="G727" s="24">
        <f>D727*H727</f>
        <v>191.22</v>
      </c>
      <c r="H727" s="25" t="n">
        <v>150</v>
      </c>
    </row>
    <row r="728">
      <c r="A728" s="20" t="inlineStr">
        <is>
          <t>b369b72e-5fdd-4489-a3f7-091bf0b2c595</t>
        </is>
      </c>
      <c r="B728" s="4" t="inlineStr">
        <is>
          <t>Liam Tuohy</t>
        </is>
      </c>
      <c r="C728" s="6" t="inlineStr">
        <is>
          <t>liamtuohy22@gmail.com</t>
        </is>
      </c>
      <c r="D728" s="21" t="n">
        <v>1.5774</v>
      </c>
      <c r="E728" s="22" t="n">
        <v>19.9056</v>
      </c>
      <c r="F728" s="23" t="n">
        <v>4</v>
      </c>
      <c r="G728" s="24">
        <f>D728*H728</f>
        <v>236.60999999999999</v>
      </c>
      <c r="H728" s="25" t="n">
        <v>150</v>
      </c>
    </row>
    <row r="729">
      <c r="A729" s="20" t="inlineStr">
        <is>
          <t>9653b2bc-eb91-47b3-8f6a-aec05a0a1ebf</t>
        </is>
      </c>
      <c r="B729" s="4" t="inlineStr">
        <is>
          <t>Liam Tuohy</t>
        </is>
      </c>
      <c r="C729" s="6" t="inlineStr">
        <is>
          <t>liamtuohy22@gmail.com</t>
        </is>
      </c>
      <c r="D729" s="21" t="n">
        <v>1.8623</v>
      </c>
      <c r="E729" s="22" t="n">
        <v>38.312</v>
      </c>
      <c r="F729" s="23" t="n">
        <v>4</v>
      </c>
      <c r="G729" s="24">
        <f>D729*H729</f>
        <v>279.345</v>
      </c>
      <c r="H729" s="25" t="n">
        <v>150</v>
      </c>
    </row>
    <row r="730">
      <c r="A730" s="20" t="inlineStr">
        <is>
          <t>bc6134fe-908d-4534-9ea9-344cac5501df</t>
        </is>
      </c>
      <c r="B730" s="4" t="inlineStr">
        <is>
          <t>Liam Tuohy</t>
        </is>
      </c>
      <c r="C730" s="6" t="inlineStr">
        <is>
          <t>liamtuohy22@gmail.com</t>
        </is>
      </c>
      <c r="D730" s="21" t="n">
        <v>2.1948</v>
      </c>
      <c r="E730" s="22" t="n">
        <v>60.7366</v>
      </c>
      <c r="F730" s="23" t="n">
        <v>11</v>
      </c>
      <c r="G730" s="24">
        <f>D730*H730</f>
        <v>329.21999999999997</v>
      </c>
      <c r="H730" s="25" t="n">
        <v>150</v>
      </c>
    </row>
    <row r="731">
      <c r="A731" s="20" t="inlineStr">
        <is>
          <t>78376db9-d204-49ec-9a3c-169afe376ce7</t>
        </is>
      </c>
      <c r="B731" s="4" t="inlineStr">
        <is>
          <t>Liam Tuohy</t>
        </is>
      </c>
      <c r="C731" s="6" t="inlineStr">
        <is>
          <t>liamtuohy22@gmail.com</t>
        </is>
      </c>
      <c r="D731" s="21" t="n">
        <v>2.3162</v>
      </c>
      <c r="E731" s="22" t="n">
        <v>31.0189</v>
      </c>
      <c r="F731" s="23" t="n">
        <v>5</v>
      </c>
      <c r="G731" s="24">
        <f>D731*H731</f>
        <v>347.42999999999995</v>
      </c>
      <c r="H731" s="25" t="n">
        <v>150</v>
      </c>
    </row>
    <row r="732">
      <c r="A732" s="20" t="inlineStr">
        <is>
          <t>fa211765-7337-4920-bbd6-d2d24f6a28f3</t>
        </is>
      </c>
      <c r="B732" s="4" t="inlineStr">
        <is>
          <t>Liam Tuohy</t>
        </is>
      </c>
      <c r="C732" s="6" t="inlineStr">
        <is>
          <t>liamtuohy22@gmail.com</t>
        </is>
      </c>
      <c r="D732" s="21" t="n">
        <v>2.4179</v>
      </c>
      <c r="E732" s="22" t="n">
        <v>24.8997</v>
      </c>
      <c r="F732" s="23" t="n">
        <v>7</v>
      </c>
      <c r="G732" s="24">
        <f>D732*H732</f>
        <v>362.685</v>
      </c>
      <c r="H732" s="25" t="n">
        <v>150</v>
      </c>
    </row>
    <row r="733">
      <c r="A733" s="20" t="inlineStr">
        <is>
          <t>fc14d732-9988-4165-b7df-213740a03e37</t>
        </is>
      </c>
      <c r="B733" s="4" t="inlineStr">
        <is>
          <t>Liam Tuohy</t>
        </is>
      </c>
      <c r="C733" s="6" t="inlineStr">
        <is>
          <t>liamtuohy22@gmail.com</t>
        </is>
      </c>
      <c r="D733" s="21" t="n">
        <v>3.6881</v>
      </c>
      <c r="E733" s="22" t="n">
        <v>58.3694</v>
      </c>
      <c r="F733" s="23" t="n">
        <v>9</v>
      </c>
      <c r="G733" s="24">
        <f>D733*H733</f>
        <v>553.215</v>
      </c>
      <c r="H733" s="25" t="n">
        <v>150</v>
      </c>
    </row>
    <row r="734">
      <c r="A734" s="20" t="inlineStr">
        <is>
          <t>3ddf3ad2-c22f-4d62-8c39-c3cb3af47415</t>
        </is>
      </c>
      <c r="B734" s="4" t="inlineStr">
        <is>
          <t>Liam Tuohy</t>
        </is>
      </c>
      <c r="C734" s="6" t="inlineStr">
        <is>
          <t>liamtuohy22@gmail.com</t>
        </is>
      </c>
      <c r="D734" s="21" t="n">
        <v>3.7947</v>
      </c>
      <c r="E734" s="22" t="n">
        <v>84.26090000000001</v>
      </c>
      <c r="F734" s="23" t="n">
        <v>16</v>
      </c>
      <c r="G734" s="24">
        <f>D734*H734</f>
        <v>569.205</v>
      </c>
      <c r="H734" s="25" t="n">
        <v>150</v>
      </c>
    </row>
    <row r="735">
      <c r="A735" s="20" t="inlineStr">
        <is>
          <t>d3f2eb48-fc19-4f1a-9a92-9a74abb6584f</t>
        </is>
      </c>
      <c r="B735" s="4" t="inlineStr">
        <is>
          <t>Liam Tuohy</t>
        </is>
      </c>
      <c r="C735" s="6" t="inlineStr">
        <is>
          <t>liamtuohy22@gmail.com</t>
        </is>
      </c>
      <c r="D735" s="21" t="n">
        <v>5.5247</v>
      </c>
      <c r="E735" s="22" t="n">
        <v>53.4291</v>
      </c>
      <c r="F735" s="23" t="n">
        <v>11</v>
      </c>
      <c r="G735" s="24">
        <f>D735*H735</f>
        <v>828.705</v>
      </c>
      <c r="H735" s="25" t="n">
        <v>150</v>
      </c>
    </row>
    <row r="736">
      <c r="A736" s="20" t="inlineStr">
        <is>
          <t>6fbdee94-c34c-49f5-a110-42499b6545bd</t>
        </is>
      </c>
      <c r="B736" s="4" t="inlineStr">
        <is>
          <t>Liam Tuohy</t>
        </is>
      </c>
      <c r="C736" s="6" t="inlineStr">
        <is>
          <t>liamtuohy22@gmail.com</t>
        </is>
      </c>
      <c r="D736" s="21" t="n">
        <v>7.2898</v>
      </c>
      <c r="E736" s="22" t="n">
        <v>87.16540000000001</v>
      </c>
      <c r="F736" s="23" t="n">
        <v>11</v>
      </c>
      <c r="G736" s="24">
        <f>D736*H736</f>
        <v>1093.47</v>
      </c>
      <c r="H736" s="25" t="n">
        <v>150</v>
      </c>
    </row>
    <row r="737">
      <c r="A737" s="20" t="inlineStr">
        <is>
          <t>5de6d33e-8ed4-487b-be36-a969d32e012e</t>
        </is>
      </c>
      <c r="B737" s="4" t="inlineStr">
        <is>
          <t>Joy Tokosi</t>
        </is>
      </c>
      <c r="C737" s="6" t="inlineStr">
        <is>
          <t>joyyomitokosi@gmail.com</t>
        </is>
      </c>
      <c r="D737" s="21" t="n">
        <v>0.0282</v>
      </c>
      <c r="E737" s="22" t="n">
        <v>0.2908</v>
      </c>
      <c r="F737" s="23" t="n">
        <v>1</v>
      </c>
      <c r="G737" s="24">
        <f>D737*H737</f>
        <v>4.2299999999999995</v>
      </c>
      <c r="H737" s="25" t="n">
        <v>150</v>
      </c>
    </row>
    <row r="738">
      <c r="A738" s="20" t="inlineStr">
        <is>
          <t>0abfda35-b4e4-4176-8b0a-1ef65201e161</t>
        </is>
      </c>
      <c r="B738" s="4" t="inlineStr">
        <is>
          <t>Joy Tokosi</t>
        </is>
      </c>
      <c r="C738" s="6" t="inlineStr">
        <is>
          <t>joyyomitokosi@gmail.com</t>
        </is>
      </c>
      <c r="D738" s="21" t="n">
        <v>0.0588</v>
      </c>
      <c r="E738" s="22" t="n">
        <v>0.8655</v>
      </c>
      <c r="F738" s="23" t="n">
        <v>1</v>
      </c>
      <c r="G738" s="24">
        <f>D738*H738</f>
        <v>8.82</v>
      </c>
      <c r="H738" s="25" t="n">
        <v>150</v>
      </c>
    </row>
    <row r="739">
      <c r="A739" s="20" t="inlineStr">
        <is>
          <t>97f06ffb-83e5-48cc-8d95-5c6d91d8d836</t>
        </is>
      </c>
      <c r="B739" s="4" t="inlineStr">
        <is>
          <t>Joy Tokosi</t>
        </is>
      </c>
      <c r="C739" s="6" t="inlineStr">
        <is>
          <t>joyyomitokosi@gmail.com</t>
        </is>
      </c>
      <c r="D739" s="21" t="n">
        <v>0.0892</v>
      </c>
      <c r="E739" s="22" t="n">
        <v>0.4599</v>
      </c>
      <c r="F739" s="23" t="n">
        <v>1</v>
      </c>
      <c r="G739" s="24">
        <f>D739*H739</f>
        <v>13.38</v>
      </c>
      <c r="H739" s="25" t="n">
        <v>150</v>
      </c>
    </row>
    <row r="740">
      <c r="A740" s="20" t="inlineStr">
        <is>
          <t>c90bb582-5f12-44ea-82fd-dcf670f0cc80</t>
        </is>
      </c>
      <c r="B740" s="4" t="inlineStr">
        <is>
          <t>Joy Tokosi</t>
        </is>
      </c>
      <c r="C740" s="6" t="inlineStr">
        <is>
          <t>joyyomitokosi@gmail.com</t>
        </is>
      </c>
      <c r="D740" s="21" t="n">
        <v>0.3167</v>
      </c>
      <c r="E740" s="22" t="n">
        <v>21.3642</v>
      </c>
      <c r="F740" s="23" t="n">
        <v>2</v>
      </c>
      <c r="G740" s="24">
        <f>D740*H740</f>
        <v>47.504999999999995</v>
      </c>
      <c r="H740" s="25" t="n">
        <v>150</v>
      </c>
    </row>
    <row r="741">
      <c r="A741" s="20" t="inlineStr">
        <is>
          <t>6090ac8a-4f70-46a6-ba15-bf732ab13272</t>
        </is>
      </c>
      <c r="B741" s="4" t="inlineStr">
        <is>
          <t>Joy Tokosi</t>
        </is>
      </c>
      <c r="C741" s="6" t="inlineStr">
        <is>
          <t>joyyomitokosi@gmail.com</t>
        </is>
      </c>
      <c r="D741" s="21" t="n">
        <v>0.4042</v>
      </c>
      <c r="E741" s="22" t="n">
        <v>12.3419</v>
      </c>
      <c r="F741" s="23" t="n">
        <v>2</v>
      </c>
      <c r="G741" s="24">
        <f>D741*H741</f>
        <v>60.63</v>
      </c>
      <c r="H741" s="25" t="n">
        <v>150</v>
      </c>
    </row>
    <row r="742">
      <c r="A742" s="20" t="inlineStr">
        <is>
          <t>3e270b7e-699d-4c4d-9845-16ad01b2117a</t>
        </is>
      </c>
      <c r="B742" s="4" t="inlineStr">
        <is>
          <t>Joy Tokosi</t>
        </is>
      </c>
      <c r="C742" s="6" t="inlineStr">
        <is>
          <t>joyyomitokosi@gmail.com</t>
        </is>
      </c>
      <c r="D742" s="21" t="n">
        <v>0.492</v>
      </c>
      <c r="E742" s="22" t="n">
        <v>24</v>
      </c>
      <c r="F742" s="23" t="n">
        <v>2</v>
      </c>
      <c r="G742" s="24">
        <f>D742*H742</f>
        <v>73.8</v>
      </c>
      <c r="H742" s="25" t="n">
        <v>150</v>
      </c>
    </row>
    <row r="743">
      <c r="A743" s="20" t="inlineStr">
        <is>
          <t>b202705d-4b60-48c9-889a-986286830062</t>
        </is>
      </c>
      <c r="B743" s="4" t="inlineStr">
        <is>
          <t>Joy Tokosi</t>
        </is>
      </c>
      <c r="C743" s="6" t="inlineStr">
        <is>
          <t>joyyomitokosi@gmail.com</t>
        </is>
      </c>
      <c r="D743" s="21" t="n">
        <v>0.6062</v>
      </c>
      <c r="E743" s="22" t="n">
        <v>24.2248</v>
      </c>
      <c r="F743" s="23" t="n">
        <v>3</v>
      </c>
      <c r="G743" s="24">
        <f>D743*H743</f>
        <v>90.92999999999999</v>
      </c>
      <c r="H743" s="25" t="n">
        <v>150</v>
      </c>
    </row>
    <row r="744">
      <c r="A744" s="20" t="inlineStr">
        <is>
          <t>aa79af6f-b829-40c4-9828-c006eddbd815</t>
        </is>
      </c>
      <c r="B744" s="4" t="inlineStr">
        <is>
          <t>Joy Tokosi</t>
        </is>
      </c>
      <c r="C744" s="6" t="inlineStr">
        <is>
          <t>joyyomitokosi@gmail.com</t>
        </is>
      </c>
      <c r="D744" s="21" t="n">
        <v>0.6159</v>
      </c>
      <c r="E744" s="22" t="n">
        <v>12.7343</v>
      </c>
      <c r="F744" s="23" t="n">
        <v>3</v>
      </c>
      <c r="G744" s="24">
        <f>D744*H744</f>
        <v>92.385</v>
      </c>
      <c r="H744" s="25" t="n">
        <v>150</v>
      </c>
    </row>
    <row r="745">
      <c r="A745" s="20" t="inlineStr">
        <is>
          <t>ae0e486a-3c1f-4e75-9409-6f5f04257f90</t>
        </is>
      </c>
      <c r="B745" s="4" t="inlineStr">
        <is>
          <t>Joy Tokosi</t>
        </is>
      </c>
      <c r="C745" s="6" t="inlineStr">
        <is>
          <t>joyyomitokosi@gmail.com</t>
        </is>
      </c>
      <c r="D745" s="21" t="n">
        <v>0.6257</v>
      </c>
      <c r="E745" s="22" t="n">
        <v>12.1971</v>
      </c>
      <c r="F745" s="23" t="n">
        <v>2</v>
      </c>
      <c r="G745" s="24">
        <f>D745*H745</f>
        <v>93.855</v>
      </c>
      <c r="H745" s="25" t="n">
        <v>150</v>
      </c>
    </row>
    <row r="746">
      <c r="A746" s="20" t="inlineStr">
        <is>
          <t>30413c68-6e1d-4ea7-acb2-96a01727225f</t>
        </is>
      </c>
      <c r="B746" s="4" t="inlineStr">
        <is>
          <t>Joy Tokosi</t>
        </is>
      </c>
      <c r="C746" s="6" t="inlineStr">
        <is>
          <t>joyyomitokosi@gmail.com</t>
        </is>
      </c>
      <c r="D746" s="21" t="n">
        <v>0.6669</v>
      </c>
      <c r="E746" s="22" t="n">
        <v>12.2136</v>
      </c>
      <c r="F746" s="23" t="n">
        <v>2</v>
      </c>
      <c r="G746" s="24">
        <f>D746*H746</f>
        <v>100.03500000000001</v>
      </c>
      <c r="H746" s="25" t="n">
        <v>150</v>
      </c>
    </row>
    <row r="747">
      <c r="A747" s="20" t="inlineStr">
        <is>
          <t>02ccbe44-c692-4107-b9c6-6b4b54567d3d</t>
        </is>
      </c>
      <c r="B747" s="4" t="inlineStr">
        <is>
          <t>Joy Tokosi</t>
        </is>
      </c>
      <c r="C747" s="6" t="inlineStr">
        <is>
          <t>joyyomitokosi@gmail.com</t>
        </is>
      </c>
      <c r="D747" s="21" t="n">
        <v>0.6924</v>
      </c>
      <c r="E747" s="22" t="n">
        <v>12.4718</v>
      </c>
      <c r="F747" s="23" t="n">
        <v>4</v>
      </c>
      <c r="G747" s="24">
        <f>D747*H747</f>
        <v>103.86</v>
      </c>
      <c r="H747" s="25" t="n">
        <v>150</v>
      </c>
    </row>
    <row r="748">
      <c r="A748" s="20" t="inlineStr">
        <is>
          <t>b28142af-5b67-4d11-8e00-46ffe1d348a6</t>
        </is>
      </c>
      <c r="B748" s="4" t="inlineStr">
        <is>
          <t>Joy Tokosi</t>
        </is>
      </c>
      <c r="C748" s="6" t="inlineStr">
        <is>
          <t>joyyomitokosi@gmail.com</t>
        </is>
      </c>
      <c r="D748" s="21" t="n">
        <v>0.703</v>
      </c>
      <c r="E748" s="22" t="n">
        <v>12.2389</v>
      </c>
      <c r="F748" s="23" t="n">
        <v>4</v>
      </c>
      <c r="G748" s="24">
        <f>D748*H748</f>
        <v>105.44999999999999</v>
      </c>
      <c r="H748" s="25" t="n">
        <v>150</v>
      </c>
    </row>
    <row r="749">
      <c r="A749" s="20" t="inlineStr">
        <is>
          <t>a236b366-21ea-45b8-9429-a1a2a4318473</t>
        </is>
      </c>
      <c r="B749" s="4" t="inlineStr">
        <is>
          <t>Joy Tokosi</t>
        </is>
      </c>
      <c r="C749" s="6" t="inlineStr">
        <is>
          <t>joyyomitokosi@gmail.com</t>
        </is>
      </c>
      <c r="D749" s="21" t="n">
        <v>0.7127</v>
      </c>
      <c r="E749" s="22" t="n">
        <v>12.0811</v>
      </c>
      <c r="F749" s="23" t="n">
        <v>2</v>
      </c>
      <c r="G749" s="24">
        <f>D749*H749</f>
        <v>106.905</v>
      </c>
      <c r="H749" s="25" t="n">
        <v>150</v>
      </c>
    </row>
    <row r="750">
      <c r="A750" s="20" t="inlineStr">
        <is>
          <t>67b8b495-bdf6-43a4-8747-dcaa37fc5752</t>
        </is>
      </c>
      <c r="B750" s="4" t="inlineStr">
        <is>
          <t>Joy Tokosi</t>
        </is>
      </c>
      <c r="C750" s="6" t="inlineStr">
        <is>
          <t>joyyomitokosi@gmail.com</t>
        </is>
      </c>
      <c r="D750" s="21" t="n">
        <v>0.7413999999999999</v>
      </c>
      <c r="E750" s="22" t="n">
        <v>23.5175</v>
      </c>
      <c r="F750" s="23" t="n">
        <v>2</v>
      </c>
      <c r="G750" s="24">
        <f>D750*H750</f>
        <v>111.21</v>
      </c>
      <c r="H750" s="25" t="n">
        <v>150</v>
      </c>
    </row>
    <row r="751">
      <c r="A751" s="20" t="inlineStr">
        <is>
          <t>ff5151ee-ff2d-42a9-a938-00fd43aebc89</t>
        </is>
      </c>
      <c r="B751" s="4" t="inlineStr">
        <is>
          <t>Joy Tokosi</t>
        </is>
      </c>
      <c r="C751" s="6" t="inlineStr">
        <is>
          <t>joyyomitokosi@gmail.com</t>
        </is>
      </c>
      <c r="D751" s="21" t="n">
        <v>0.834</v>
      </c>
      <c r="E751" s="22" t="n">
        <v>13.5981</v>
      </c>
      <c r="F751" s="23" t="n">
        <v>3</v>
      </c>
      <c r="G751" s="24">
        <f>D751*H751</f>
        <v>125.1</v>
      </c>
      <c r="H751" s="25" t="n">
        <v>150</v>
      </c>
    </row>
    <row r="752">
      <c r="A752" s="20" t="inlineStr">
        <is>
          <t>1d06f68b-31d1-4d9b-83fb-936f1f7af6d9</t>
        </is>
      </c>
      <c r="B752" s="4" t="inlineStr">
        <is>
          <t>Joy Tokosi</t>
        </is>
      </c>
      <c r="C752" s="6" t="inlineStr">
        <is>
          <t>joyyomitokosi@gmail.com</t>
        </is>
      </c>
      <c r="D752" s="21" t="n">
        <v>0.8875</v>
      </c>
      <c r="E752" s="22" t="n">
        <v>12.4423</v>
      </c>
      <c r="F752" s="23" t="n">
        <v>2</v>
      </c>
      <c r="G752" s="24">
        <f>D752*H752</f>
        <v>133.125</v>
      </c>
      <c r="H752" s="25" t="n">
        <v>150</v>
      </c>
    </row>
    <row r="753">
      <c r="A753" s="20" t="inlineStr">
        <is>
          <t>5d48ec59-52d0-4167-9891-dc9b39f6de42</t>
        </is>
      </c>
      <c r="B753" s="4" t="inlineStr">
        <is>
          <t>Joy Tokosi</t>
        </is>
      </c>
      <c r="C753" s="6" t="inlineStr">
        <is>
          <t>joyyomitokosi@gmail.com</t>
        </is>
      </c>
      <c r="D753" s="21" t="n">
        <v>1.2879</v>
      </c>
      <c r="E753" s="22" t="n">
        <v>37.5392</v>
      </c>
      <c r="F753" s="23" t="n">
        <v>4</v>
      </c>
      <c r="G753" s="24">
        <f>D753*H753</f>
        <v>193.185</v>
      </c>
      <c r="H753" s="25" t="n">
        <v>150</v>
      </c>
    </row>
    <row r="754">
      <c r="A754" s="20" t="inlineStr">
        <is>
          <t>ffa8dc78-089b-41cd-b165-912be23fa08a</t>
        </is>
      </c>
      <c r="B754" s="4" t="inlineStr">
        <is>
          <t>Joy Tokosi</t>
        </is>
      </c>
      <c r="C754" s="6" t="inlineStr">
        <is>
          <t>joyyomitokosi@gmail.com</t>
        </is>
      </c>
      <c r="D754" s="21" t="n">
        <v>1.3801</v>
      </c>
      <c r="E754" s="22" t="n">
        <v>25.0673</v>
      </c>
      <c r="F754" s="23" t="n">
        <v>3</v>
      </c>
      <c r="G754" s="24">
        <f>D754*H754</f>
        <v>207.01500000000001</v>
      </c>
      <c r="H754" s="25" t="n">
        <v>150</v>
      </c>
    </row>
    <row r="755">
      <c r="A755" s="20" t="inlineStr">
        <is>
          <t>25873605-f0a8-4263-b1a1-677c1eca7507</t>
        </is>
      </c>
      <c r="B755" s="4" t="inlineStr">
        <is>
          <t>Joy Tokosi</t>
        </is>
      </c>
      <c r="C755" s="6" t="inlineStr">
        <is>
          <t>joyyomitokosi@gmail.com</t>
        </is>
      </c>
      <c r="D755" s="21" t="n">
        <v>1.6164</v>
      </c>
      <c r="E755" s="22" t="n">
        <v>38.2897</v>
      </c>
      <c r="F755" s="23" t="n">
        <v>6</v>
      </c>
      <c r="G755" s="24">
        <f>D755*H755</f>
        <v>242.46</v>
      </c>
      <c r="H755" s="25" t="n">
        <v>150</v>
      </c>
    </row>
    <row r="756">
      <c r="A756" s="20" t="inlineStr">
        <is>
          <t>b7196964-94a6-41c3-9ae5-457fd10bfda6</t>
        </is>
      </c>
      <c r="B756" s="4" t="inlineStr">
        <is>
          <t>Joy Tokosi</t>
        </is>
      </c>
      <c r="C756" s="6" t="inlineStr">
        <is>
          <t>joyyomitokosi@gmail.com</t>
        </is>
      </c>
      <c r="D756" s="21" t="n">
        <v>2.0733</v>
      </c>
      <c r="E756" s="22" t="n">
        <v>43.4553</v>
      </c>
      <c r="F756" s="23" t="n">
        <v>9</v>
      </c>
      <c r="G756" s="24">
        <f>D756*H756</f>
        <v>310.995</v>
      </c>
      <c r="H756" s="25" t="n">
        <v>150</v>
      </c>
    </row>
    <row r="757">
      <c r="A757" s="20" t="inlineStr">
        <is>
          <t>415b3ba1-7786-461a-bbb8-b8e62499f1b5</t>
        </is>
      </c>
      <c r="B757" s="4" t="inlineStr">
        <is>
          <t>Joy Tokosi</t>
        </is>
      </c>
      <c r="C757" s="6" t="inlineStr">
        <is>
          <t>joyyomitokosi@gmail.com</t>
        </is>
      </c>
      <c r="D757" s="21" t="n">
        <v>2.361</v>
      </c>
      <c r="E757" s="22" t="n">
        <v>12.3249</v>
      </c>
      <c r="F757" s="23" t="n">
        <v>2</v>
      </c>
      <c r="G757" s="24">
        <f>D757*H757</f>
        <v>354.15000000000003</v>
      </c>
      <c r="H757" s="25" t="n">
        <v>150</v>
      </c>
    </row>
    <row r="758">
      <c r="A758" s="20" t="inlineStr">
        <is>
          <t>5295a85e-8c4d-4bab-a7fe-ba917001994a</t>
        </is>
      </c>
      <c r="B758" s="4" t="inlineStr">
        <is>
          <t>Joy Tokosi</t>
        </is>
      </c>
      <c r="C758" s="6" t="inlineStr">
        <is>
          <t>joyyomitokosi@gmail.com</t>
        </is>
      </c>
      <c r="D758" s="21" t="n">
        <v>2.551</v>
      </c>
      <c r="E758" s="22" t="n">
        <v>61.3205</v>
      </c>
      <c r="F758" s="23" t="n">
        <v>8</v>
      </c>
      <c r="G758" s="24">
        <f>D758*H758</f>
        <v>382.65000000000003</v>
      </c>
      <c r="H758" s="25" t="n">
        <v>150</v>
      </c>
    </row>
    <row r="759">
      <c r="A759" s="20" t="inlineStr">
        <is>
          <t>e4795359-9ee9-465a-a11e-6c8fe98d9937</t>
        </is>
      </c>
      <c r="B759" s="4" t="inlineStr">
        <is>
          <t>Joy Tokosi</t>
        </is>
      </c>
      <c r="C759" s="6" t="inlineStr">
        <is>
          <t>joyyomitokosi@gmail.com</t>
        </is>
      </c>
      <c r="D759" s="21" t="n">
        <v>3.0305</v>
      </c>
      <c r="E759" s="22" t="n">
        <v>12.1653</v>
      </c>
      <c r="F759" s="23" t="n">
        <v>2</v>
      </c>
      <c r="G759" s="24">
        <f>D759*H759</f>
        <v>454.575</v>
      </c>
      <c r="H759" s="25" t="n">
        <v>150</v>
      </c>
    </row>
    <row r="760">
      <c r="A760" s="20" t="inlineStr">
        <is>
          <t>eecb4dd2-3dd4-43ef-9fcf-c886d965fafd</t>
        </is>
      </c>
      <c r="B760" s="4" t="inlineStr">
        <is>
          <t>Joy Tokosi</t>
        </is>
      </c>
      <c r="C760" s="6" t="inlineStr">
        <is>
          <t>joyyomitokosi@gmail.com</t>
        </is>
      </c>
      <c r="D760" s="21" t="n">
        <v>3.3697</v>
      </c>
      <c r="E760" s="22" t="n">
        <v>30.4974</v>
      </c>
      <c r="F760" s="23" t="n">
        <v>5</v>
      </c>
      <c r="G760" s="24">
        <f>D760*H760</f>
        <v>505.455</v>
      </c>
      <c r="H760" s="25" t="n">
        <v>150</v>
      </c>
    </row>
    <row r="761">
      <c r="A761" s="20" t="inlineStr">
        <is>
          <t>17056a83-b6d2-4380-989a-958ceff37fd4</t>
        </is>
      </c>
      <c r="B761" s="4" t="inlineStr">
        <is>
          <t>Joy Tokosi</t>
        </is>
      </c>
      <c r="C761" s="6" t="inlineStr">
        <is>
          <t>joyyomitokosi@gmail.com</t>
        </is>
      </c>
      <c r="D761" s="21" t="n">
        <v>4.419</v>
      </c>
      <c r="E761" s="22" t="n">
        <v>26.7686</v>
      </c>
      <c r="F761" s="23" t="n">
        <v>4</v>
      </c>
      <c r="G761" s="24">
        <f>D761*H761</f>
        <v>662.8499999999999</v>
      </c>
      <c r="H761" s="25" t="n">
        <v>150</v>
      </c>
    </row>
    <row r="762">
      <c r="A762" s="20" t="inlineStr">
        <is>
          <t>dba988c8-148a-4725-ad14-25124f8a4415</t>
        </is>
      </c>
      <c r="B762" s="4" t="inlineStr">
        <is>
          <t>Diego Inaki Pardo de Orellana</t>
        </is>
      </c>
      <c r="C762" s="6" t="inlineStr">
        <is>
          <t>diegopardo52300@gmail.com</t>
        </is>
      </c>
      <c r="D762" s="21" t="n">
        <v>0.1739</v>
      </c>
      <c r="E762" s="22" t="n">
        <v>1.8262</v>
      </c>
      <c r="F762" s="23" t="n">
        <v>1</v>
      </c>
      <c r="G762" s="24">
        <f>D762*H762</f>
        <v>30.4325</v>
      </c>
      <c r="H762" s="25" t="n">
        <v>175</v>
      </c>
    </row>
    <row r="763">
      <c r="A763" s="20" t="inlineStr">
        <is>
          <t>e176b721-cce2-4b47-b02d-ced03cae2057</t>
        </is>
      </c>
      <c r="B763" s="4" t="inlineStr">
        <is>
          <t>Diego Inaki Pardo de Orellana</t>
        </is>
      </c>
      <c r="C763" s="6" t="inlineStr">
        <is>
          <t>diegopardo52300@gmail.com</t>
        </is>
      </c>
      <c r="D763" s="21" t="n">
        <v>0.2225</v>
      </c>
      <c r="E763" s="22" t="n">
        <v>12.1605</v>
      </c>
      <c r="F763" s="23" t="n">
        <v>2</v>
      </c>
      <c r="G763" s="24">
        <f>D763*H763</f>
        <v>38.9375</v>
      </c>
      <c r="H763" s="25" t="n">
        <v>175</v>
      </c>
    </row>
    <row r="764">
      <c r="A764" s="20" t="inlineStr">
        <is>
          <t>9f2ea567-dfd7-4db4-a646-212d56db6443</t>
        </is>
      </c>
      <c r="B764" s="4" t="inlineStr">
        <is>
          <t>Diego Inaki Pardo de Orellana</t>
        </is>
      </c>
      <c r="C764" s="6" t="inlineStr">
        <is>
          <t>diegopardo52300@gmail.com</t>
        </is>
      </c>
      <c r="D764" s="21" t="n">
        <v>0.5571</v>
      </c>
      <c r="E764" s="22" t="n">
        <v>9.7752</v>
      </c>
      <c r="F764" s="23" t="n">
        <v>4</v>
      </c>
      <c r="G764" s="24">
        <f>D764*H764</f>
        <v>97.4925</v>
      </c>
      <c r="H764" s="25" t="n">
        <v>175</v>
      </c>
    </row>
    <row r="765">
      <c r="A765" s="20" t="inlineStr">
        <is>
          <t>ac28f7f4-2de2-43a6-9b18-f19783b232e5</t>
        </is>
      </c>
      <c r="B765" s="4" t="inlineStr">
        <is>
          <t>Diego Inaki Pardo de Orellana</t>
        </is>
      </c>
      <c r="C765" s="6" t="inlineStr">
        <is>
          <t>diegopardo52300@gmail.com</t>
        </is>
      </c>
      <c r="D765" s="21" t="n">
        <v>0.5726</v>
      </c>
      <c r="E765" s="22" t="n">
        <v>14.8268</v>
      </c>
      <c r="F765" s="23" t="n">
        <v>3</v>
      </c>
      <c r="G765" s="24">
        <f>D765*H765</f>
        <v>100.205</v>
      </c>
      <c r="H765" s="25" t="n">
        <v>175</v>
      </c>
    </row>
    <row r="766">
      <c r="A766" s="20" t="inlineStr">
        <is>
          <t>13125d01-6b58-4880-b294-2011fc186c9c</t>
        </is>
      </c>
      <c r="B766" s="4" t="inlineStr">
        <is>
          <t>Diego Inaki Pardo de Orellana</t>
        </is>
      </c>
      <c r="C766" s="6" t="inlineStr">
        <is>
          <t>diegopardo52300@gmail.com</t>
        </is>
      </c>
      <c r="D766" s="21" t="n">
        <v>0.5799</v>
      </c>
      <c r="E766" s="22" t="n">
        <v>1.5263</v>
      </c>
      <c r="F766" s="23" t="n">
        <v>2</v>
      </c>
      <c r="G766" s="24">
        <f>D766*H766</f>
        <v>101.4825</v>
      </c>
      <c r="H766" s="25" t="n">
        <v>175</v>
      </c>
    </row>
    <row r="767">
      <c r="A767" s="20" t="inlineStr">
        <is>
          <t>0df8ac65-88c6-41dc-97d8-a3b1162d47cf</t>
        </is>
      </c>
      <c r="B767" s="4" t="inlineStr">
        <is>
          <t>Diego Inaki Pardo de Orellana</t>
        </is>
      </c>
      <c r="C767" s="6" t="inlineStr">
        <is>
          <t>diegopardo52300@gmail.com</t>
        </is>
      </c>
      <c r="D767" s="21" t="n">
        <v>0.6505</v>
      </c>
      <c r="E767" s="22" t="n">
        <v>3.3109</v>
      </c>
      <c r="F767" s="23" t="n">
        <v>3</v>
      </c>
      <c r="G767" s="24">
        <f>D767*H767</f>
        <v>113.83749999999999</v>
      </c>
      <c r="H767" s="25" t="n">
        <v>175</v>
      </c>
    </row>
    <row r="768">
      <c r="A768" s="20" t="inlineStr">
        <is>
          <t>15ea58fc-56f9-496b-8887-7683421e9261</t>
        </is>
      </c>
      <c r="B768" s="4" t="inlineStr">
        <is>
          <t>Diego Inaki Pardo de Orellana</t>
        </is>
      </c>
      <c r="C768" s="6" t="inlineStr">
        <is>
          <t>diegopardo52300@gmail.com</t>
        </is>
      </c>
      <c r="D768" s="21" t="n">
        <v>0.7947</v>
      </c>
      <c r="E768" s="22" t="n">
        <v>14.6513</v>
      </c>
      <c r="F768" s="23" t="n">
        <v>6</v>
      </c>
      <c r="G768" s="24">
        <f>D768*H768</f>
        <v>139.0725</v>
      </c>
      <c r="H768" s="25" t="n">
        <v>175</v>
      </c>
    </row>
    <row r="769">
      <c r="A769" s="20" t="inlineStr">
        <is>
          <t>60957762-9ac8-4670-a8c2-98e21edcbec8</t>
        </is>
      </c>
      <c r="B769" s="4" t="inlineStr">
        <is>
          <t>Diego Inaki Pardo de Orellana</t>
        </is>
      </c>
      <c r="C769" s="6" t="inlineStr">
        <is>
          <t>diegopardo52300@gmail.com</t>
        </is>
      </c>
      <c r="D769" s="21" t="n">
        <v>0.8043</v>
      </c>
      <c r="E769" s="22" t="n">
        <v>26.776</v>
      </c>
      <c r="F769" s="23" t="n">
        <v>4</v>
      </c>
      <c r="G769" s="24">
        <f>D769*H769</f>
        <v>140.7525</v>
      </c>
      <c r="H769" s="25" t="n">
        <v>175</v>
      </c>
    </row>
    <row r="770">
      <c r="A770" s="20" t="inlineStr">
        <is>
          <t>6a737bb0-62c3-4071-ac06-742282b661ae</t>
        </is>
      </c>
      <c r="B770" s="4" t="inlineStr">
        <is>
          <t>Diego Inaki Pardo de Orellana</t>
        </is>
      </c>
      <c r="C770" s="6" t="inlineStr">
        <is>
          <t>diegopardo52300@gmail.com</t>
        </is>
      </c>
      <c r="D770" s="21" t="n">
        <v>0.8188</v>
      </c>
      <c r="E770" s="22" t="n">
        <v>18.7733</v>
      </c>
      <c r="F770" s="23" t="n">
        <v>5</v>
      </c>
      <c r="G770" s="24">
        <f>D770*H770</f>
        <v>143.29</v>
      </c>
      <c r="H770" s="25" t="n">
        <v>175</v>
      </c>
    </row>
    <row r="771">
      <c r="A771" s="20" t="inlineStr">
        <is>
          <t>6f22b42f-9d9d-4851-bf09-16b043334941</t>
        </is>
      </c>
      <c r="B771" s="4" t="inlineStr">
        <is>
          <t>Diego Inaki Pardo de Orellana</t>
        </is>
      </c>
      <c r="C771" s="6" t="inlineStr">
        <is>
          <t>diegopardo52300@gmail.com</t>
        </is>
      </c>
      <c r="D771" s="21" t="n">
        <v>1.1248</v>
      </c>
      <c r="E771" s="22" t="n">
        <v>4.1136</v>
      </c>
      <c r="F771" s="23" t="n">
        <v>2</v>
      </c>
      <c r="G771" s="24">
        <f>D771*H771</f>
        <v>196.84</v>
      </c>
      <c r="H771" s="25" t="n">
        <v>175</v>
      </c>
    </row>
    <row r="772">
      <c r="A772" s="20" t="inlineStr">
        <is>
          <t>266959ab-f784-4766-ad03-e26e87b8bb93</t>
        </is>
      </c>
      <c r="B772" s="4" t="inlineStr">
        <is>
          <t>Diego Inaki Pardo de Orellana</t>
        </is>
      </c>
      <c r="C772" s="6" t="inlineStr">
        <is>
          <t>diegopardo52300@gmail.com</t>
        </is>
      </c>
      <c r="D772" s="21" t="n">
        <v>1.3232</v>
      </c>
      <c r="E772" s="22" t="n">
        <v>4.5909</v>
      </c>
      <c r="F772" s="23" t="n">
        <v>3</v>
      </c>
      <c r="G772" s="24">
        <f>D772*H772</f>
        <v>231.56</v>
      </c>
      <c r="H772" s="25" t="n">
        <v>175</v>
      </c>
    </row>
    <row r="773">
      <c r="A773" s="20" t="inlineStr">
        <is>
          <t>27a0c64f-d543-4afe-a39d-001ddd7ec34d</t>
        </is>
      </c>
      <c r="B773" s="4" t="inlineStr">
        <is>
          <t>Diego Inaki Pardo de Orellana</t>
        </is>
      </c>
      <c r="C773" s="6" t="inlineStr">
        <is>
          <t>diegopardo52300@gmail.com</t>
        </is>
      </c>
      <c r="D773" s="21" t="n">
        <v>1.3777</v>
      </c>
      <c r="E773" s="22" t="n">
        <v>22.5423</v>
      </c>
      <c r="F773" s="23" t="n">
        <v>4</v>
      </c>
      <c r="G773" s="24">
        <f>D773*H773</f>
        <v>241.0975</v>
      </c>
      <c r="H773" s="25" t="n">
        <v>175</v>
      </c>
    </row>
    <row r="774">
      <c r="A774" s="20" t="inlineStr">
        <is>
          <t>64b13df5-8e94-4754-b6f4-5a1ae67e4809</t>
        </is>
      </c>
      <c r="B774" s="4" t="inlineStr">
        <is>
          <t>Diego Inaki Pardo de Orellana</t>
        </is>
      </c>
      <c r="C774" s="6" t="inlineStr">
        <is>
          <t>diegopardo52300@gmail.com</t>
        </is>
      </c>
      <c r="D774" s="21" t="n">
        <v>1.8468</v>
      </c>
      <c r="E774" s="22" t="n">
        <v>16.1619</v>
      </c>
      <c r="F774" s="23" t="n">
        <v>3</v>
      </c>
      <c r="G774" s="24">
        <f>D774*H774</f>
        <v>323.19</v>
      </c>
      <c r="H774" s="25" t="n">
        <v>175</v>
      </c>
    </row>
    <row r="775">
      <c r="A775" s="20" t="inlineStr">
        <is>
          <t>eac7d674-7723-4fe1-ba21-867c07896a35</t>
        </is>
      </c>
      <c r="B775" s="4" t="inlineStr">
        <is>
          <t>Diego Inaki Pardo de Orellana</t>
        </is>
      </c>
      <c r="C775" s="6" t="inlineStr">
        <is>
          <t>diegopardo52300@gmail.com</t>
        </is>
      </c>
      <c r="D775" s="21" t="n">
        <v>2.7212</v>
      </c>
      <c r="E775" s="22" t="n">
        <v>29.1936</v>
      </c>
      <c r="F775" s="23" t="n">
        <v>7</v>
      </c>
      <c r="G775" s="24">
        <f>D775*H775</f>
        <v>476.21000000000004</v>
      </c>
      <c r="H775" s="25" t="n">
        <v>175</v>
      </c>
    </row>
    <row r="776">
      <c r="A776" s="20" t="inlineStr">
        <is>
          <t>006efa65-29d1-42ba-b029-a3b699d40cc3</t>
        </is>
      </c>
      <c r="B776" s="4" t="inlineStr">
        <is>
          <t>Tyler Collingbourne</t>
        </is>
      </c>
      <c r="C776" s="6" t="inlineStr">
        <is>
          <t>tcollingbourne@gmail.com</t>
        </is>
      </c>
      <c r="D776" s="21" t="n">
        <v>0</v>
      </c>
      <c r="E776" s="22" t="n">
        <v>0.1816</v>
      </c>
      <c r="F776" s="23" t="n">
        <v>1</v>
      </c>
      <c r="G776" s="24">
        <f>D776*H776</f>
        <v>0</v>
      </c>
      <c r="H776" s="25" t="n">
        <v>150</v>
      </c>
    </row>
    <row r="777">
      <c r="A777" s="20" t="inlineStr">
        <is>
          <t>ae082bb5-fca5-47fc-8f6e-ab84ffd1b210</t>
        </is>
      </c>
      <c r="B777" s="4" t="inlineStr">
        <is>
          <t>Tyler Collingbourne</t>
        </is>
      </c>
      <c r="C777" s="6" t="inlineStr">
        <is>
          <t>tcollingbourne@gmail.com</t>
        </is>
      </c>
      <c r="D777" s="21" t="n">
        <v>0.2921</v>
      </c>
      <c r="E777" s="22" t="n">
        <v>12.2586</v>
      </c>
      <c r="F777" s="23" t="n">
        <v>2</v>
      </c>
      <c r="G777" s="24">
        <f>D777*H777</f>
        <v>43.815000000000005</v>
      </c>
      <c r="H777" s="25" t="n">
        <v>150</v>
      </c>
    </row>
    <row r="778">
      <c r="A778" s="20" t="inlineStr">
        <is>
          <t>232c5d77-178b-44ee-86fa-5539043a8137</t>
        </is>
      </c>
      <c r="B778" s="4" t="inlineStr">
        <is>
          <t>Tyler Collingbourne</t>
        </is>
      </c>
      <c r="C778" s="6" t="inlineStr">
        <is>
          <t>tcollingbourne@gmail.com</t>
        </is>
      </c>
      <c r="D778" s="21" t="n">
        <v>0.3091</v>
      </c>
      <c r="E778" s="22" t="n">
        <v>12.3081</v>
      </c>
      <c r="F778" s="23" t="n">
        <v>2</v>
      </c>
      <c r="G778" s="24">
        <f>D778*H778</f>
        <v>46.364999999999995</v>
      </c>
      <c r="H778" s="25" t="n">
        <v>150</v>
      </c>
    </row>
    <row r="779">
      <c r="A779" s="20" t="inlineStr">
        <is>
          <t>3a703764-56b9-4592-92a7-b3bf217728d5</t>
        </is>
      </c>
      <c r="B779" s="4" t="inlineStr">
        <is>
          <t>Tyler Collingbourne</t>
        </is>
      </c>
      <c r="C779" s="6" t="inlineStr">
        <is>
          <t>tcollingbourne@gmail.com</t>
        </is>
      </c>
      <c r="D779" s="21" t="n">
        <v>0.3677</v>
      </c>
      <c r="E779" s="22" t="n">
        <v>8.715299999999999</v>
      </c>
      <c r="F779" s="23" t="n">
        <v>2</v>
      </c>
      <c r="G779" s="24">
        <f>D779*H779</f>
        <v>55.155</v>
      </c>
      <c r="H779" s="25" t="n">
        <v>150</v>
      </c>
    </row>
    <row r="780">
      <c r="A780" s="20" t="inlineStr">
        <is>
          <t>ee8b67c2-375b-4ba3-b7a1-dcfd5e505bdd</t>
        </is>
      </c>
      <c r="B780" s="4" t="inlineStr">
        <is>
          <t>Tyler Collingbourne</t>
        </is>
      </c>
      <c r="C780" s="6" t="inlineStr">
        <is>
          <t>tcollingbourne@gmail.com</t>
        </is>
      </c>
      <c r="D780" s="21" t="n">
        <v>0.5702</v>
      </c>
      <c r="E780" s="22" t="n">
        <v>12.2872</v>
      </c>
      <c r="F780" s="23" t="n">
        <v>2</v>
      </c>
      <c r="G780" s="24">
        <f>D780*H780</f>
        <v>85.53</v>
      </c>
      <c r="H780" s="25" t="n">
        <v>150</v>
      </c>
    </row>
    <row r="781">
      <c r="A781" s="20" t="inlineStr">
        <is>
          <t>a96205bd-0deb-4144-b1e8-5207226f2bba</t>
        </is>
      </c>
      <c r="B781" s="4" t="inlineStr">
        <is>
          <t>Tyler Collingbourne</t>
        </is>
      </c>
      <c r="C781" s="6" t="inlineStr">
        <is>
          <t>tcollingbourne@gmail.com</t>
        </is>
      </c>
      <c r="D781" s="21" t="n">
        <v>0.599</v>
      </c>
      <c r="E781" s="22" t="n">
        <v>24.6767</v>
      </c>
      <c r="F781" s="23" t="n">
        <v>3</v>
      </c>
      <c r="G781" s="24">
        <f>D781*H781</f>
        <v>89.85</v>
      </c>
      <c r="H781" s="25" t="n">
        <v>150</v>
      </c>
    </row>
    <row r="782">
      <c r="A782" s="20" t="inlineStr">
        <is>
          <t>9453b6ee-64c7-4af9-ae1d-5c4101f376e3</t>
        </is>
      </c>
      <c r="B782" s="4" t="inlineStr">
        <is>
          <t>Tyler Collingbourne</t>
        </is>
      </c>
      <c r="C782" s="6" t="inlineStr">
        <is>
          <t>tcollingbourne@gmail.com</t>
        </is>
      </c>
      <c r="D782" s="21" t="n">
        <v>0.6784</v>
      </c>
      <c r="E782" s="22" t="n">
        <v>1.2764</v>
      </c>
      <c r="F782" s="23" t="n">
        <v>1</v>
      </c>
      <c r="G782" s="24">
        <f>D782*H782</f>
        <v>101.76</v>
      </c>
      <c r="H782" s="25" t="n">
        <v>150</v>
      </c>
    </row>
    <row r="783">
      <c r="A783" s="20" t="inlineStr">
        <is>
          <t>fbe4760b-203d-4514-a881-6d3dfbbf7869</t>
        </is>
      </c>
      <c r="B783" s="4" t="inlineStr">
        <is>
          <t>Tyler Collingbourne</t>
        </is>
      </c>
      <c r="C783" s="6" t="inlineStr">
        <is>
          <t>tcollingbourne@gmail.com</t>
        </is>
      </c>
      <c r="D783" s="21" t="n">
        <v>0.6908</v>
      </c>
      <c r="E783" s="22" t="n">
        <v>2.7055</v>
      </c>
      <c r="F783" s="23" t="n">
        <v>1</v>
      </c>
      <c r="G783" s="24">
        <f>D783*H783</f>
        <v>103.61999999999999</v>
      </c>
      <c r="H783" s="25" t="n">
        <v>150</v>
      </c>
    </row>
    <row r="784">
      <c r="A784" s="20" t="inlineStr">
        <is>
          <t>c06387e8-741c-478a-83f4-ee7dcda96ca1</t>
        </is>
      </c>
      <c r="B784" s="4" t="inlineStr">
        <is>
          <t>Tyler Collingbourne</t>
        </is>
      </c>
      <c r="C784" s="6" t="inlineStr">
        <is>
          <t>tcollingbourne@gmail.com</t>
        </is>
      </c>
      <c r="D784" s="21" t="n">
        <v>0.8177</v>
      </c>
      <c r="E784" s="22" t="n">
        <v>17.1157</v>
      </c>
      <c r="F784" s="23" t="n">
        <v>4</v>
      </c>
      <c r="G784" s="24">
        <f>D784*H784</f>
        <v>122.655</v>
      </c>
      <c r="H784" s="25" t="n">
        <v>150</v>
      </c>
    </row>
    <row r="785">
      <c r="A785" s="20" t="inlineStr">
        <is>
          <t>8d7aafb3-c6c5-47b7-afcb-dfa430c8e03d</t>
        </is>
      </c>
      <c r="B785" s="4" t="inlineStr">
        <is>
          <t>Tyler Collingbourne</t>
        </is>
      </c>
      <c r="C785" s="6" t="inlineStr">
        <is>
          <t>tcollingbourne@gmail.com</t>
        </is>
      </c>
      <c r="D785" s="21" t="n">
        <v>0.8864</v>
      </c>
      <c r="E785" s="22" t="n">
        <v>21.9678</v>
      </c>
      <c r="F785" s="23" t="n">
        <v>4</v>
      </c>
      <c r="G785" s="24">
        <f>D785*H785</f>
        <v>132.96</v>
      </c>
      <c r="H785" s="25" t="n">
        <v>150</v>
      </c>
    </row>
    <row r="786">
      <c r="A786" s="20" t="inlineStr">
        <is>
          <t>dfba2ec3-a981-4454-8ec9-94cc5f9419e7</t>
        </is>
      </c>
      <c r="B786" s="4" t="inlineStr">
        <is>
          <t>Tyler Collingbourne</t>
        </is>
      </c>
      <c r="C786" s="6" t="inlineStr">
        <is>
          <t>tcollingbourne@gmail.com</t>
        </is>
      </c>
      <c r="D786" s="21" t="n">
        <v>0.8931</v>
      </c>
      <c r="E786" s="22" t="n">
        <v>16.8939</v>
      </c>
      <c r="F786" s="23" t="n">
        <v>3</v>
      </c>
      <c r="G786" s="24">
        <f>D786*H786</f>
        <v>133.965</v>
      </c>
      <c r="H786" s="25" t="n">
        <v>150</v>
      </c>
    </row>
    <row r="787">
      <c r="A787" s="20" t="inlineStr">
        <is>
          <t>83b1951e-97c5-4e4b-93a9-85049a042930</t>
        </is>
      </c>
      <c r="B787" s="4" t="inlineStr">
        <is>
          <t>Tyler Collingbourne</t>
        </is>
      </c>
      <c r="C787" s="6" t="inlineStr">
        <is>
          <t>tcollingbourne@gmail.com</t>
        </is>
      </c>
      <c r="D787" s="21" t="n">
        <v>0.8989</v>
      </c>
      <c r="E787" s="22" t="n">
        <v>22.2091</v>
      </c>
      <c r="F787" s="23" t="n">
        <v>3</v>
      </c>
      <c r="G787" s="24">
        <f>D787*H787</f>
        <v>134.835</v>
      </c>
      <c r="H787" s="25" t="n">
        <v>150</v>
      </c>
    </row>
    <row r="788">
      <c r="A788" s="20" t="inlineStr">
        <is>
          <t>bce87591-873b-4ff1-9648-b813dea00477</t>
        </is>
      </c>
      <c r="B788" s="4" t="inlineStr">
        <is>
          <t>Tyler Collingbourne</t>
        </is>
      </c>
      <c r="C788" s="6" t="inlineStr">
        <is>
          <t>tcollingbourne@gmail.com</t>
        </is>
      </c>
      <c r="D788" s="21" t="n">
        <v>0.981</v>
      </c>
      <c r="E788" s="22" t="n">
        <v>21.5371</v>
      </c>
      <c r="F788" s="23" t="n">
        <v>4</v>
      </c>
      <c r="G788" s="24">
        <f>D788*H788</f>
        <v>147.15</v>
      </c>
      <c r="H788" s="25" t="n">
        <v>150</v>
      </c>
    </row>
    <row r="789">
      <c r="A789" s="20" t="inlineStr">
        <is>
          <t>2e6912b5-3f50-4392-8c06-a6b41a7175a3</t>
        </is>
      </c>
      <c r="B789" s="4" t="inlineStr">
        <is>
          <t>Tyler Collingbourne</t>
        </is>
      </c>
      <c r="C789" s="6" t="inlineStr">
        <is>
          <t>tcollingbourne@gmail.com</t>
        </is>
      </c>
      <c r="D789" s="21" t="n">
        <v>1.0085</v>
      </c>
      <c r="E789" s="22" t="n">
        <v>22.8578</v>
      </c>
      <c r="F789" s="23" t="n">
        <v>4</v>
      </c>
      <c r="G789" s="24">
        <f>D789*H789</f>
        <v>151.275</v>
      </c>
      <c r="H789" s="25" t="n">
        <v>150</v>
      </c>
    </row>
    <row r="790">
      <c r="A790" s="20" t="inlineStr">
        <is>
          <t>cd65d222-fe3e-44be-b668-832368f0773f</t>
        </is>
      </c>
      <c r="B790" s="4" t="inlineStr">
        <is>
          <t>Tyler Collingbourne</t>
        </is>
      </c>
      <c r="C790" s="6" t="inlineStr">
        <is>
          <t>tcollingbourne@gmail.com</t>
        </is>
      </c>
      <c r="D790" s="21" t="n">
        <v>1.2206</v>
      </c>
      <c r="E790" s="22" t="n">
        <v>51.0611</v>
      </c>
      <c r="F790" s="23" t="n">
        <v>6</v>
      </c>
      <c r="G790" s="24">
        <f>D790*H790</f>
        <v>183.08999999999997</v>
      </c>
      <c r="H790" s="25" t="n">
        <v>150</v>
      </c>
    </row>
    <row r="791">
      <c r="A791" s="20" t="inlineStr">
        <is>
          <t>0150f7b0-4e55-4bbc-8409-0bfa5bb4b4d8</t>
        </is>
      </c>
      <c r="B791" s="4" t="inlineStr">
        <is>
          <t>Tyler Collingbourne</t>
        </is>
      </c>
      <c r="C791" s="6" t="inlineStr">
        <is>
          <t>tcollingbourne@gmail.com</t>
        </is>
      </c>
      <c r="D791" s="21" t="n">
        <v>1.5208</v>
      </c>
      <c r="E791" s="22" t="n">
        <v>17.7112</v>
      </c>
      <c r="F791" s="23" t="n">
        <v>3</v>
      </c>
      <c r="G791" s="24">
        <f>D791*H791</f>
        <v>228.11999999999998</v>
      </c>
      <c r="H791" s="25" t="n">
        <v>150</v>
      </c>
    </row>
    <row r="792">
      <c r="A792" s="20" t="inlineStr">
        <is>
          <t>4bab9ff2-840e-436b-9fcc-135cd1871101</t>
        </is>
      </c>
      <c r="B792" s="4" t="inlineStr">
        <is>
          <t>Tyler Collingbourne</t>
        </is>
      </c>
      <c r="C792" s="6" t="inlineStr">
        <is>
          <t>tcollingbourne@gmail.com</t>
        </is>
      </c>
      <c r="D792" s="21" t="n">
        <v>4.2613</v>
      </c>
      <c r="E792" s="22" t="n">
        <v>92.4598</v>
      </c>
      <c r="F792" s="23" t="n">
        <v>12</v>
      </c>
      <c r="G792" s="24">
        <f>D792*H792</f>
        <v>639.195</v>
      </c>
      <c r="H792" s="25" t="n">
        <v>150</v>
      </c>
    </row>
    <row r="793">
      <c r="A793" s="20" t="inlineStr">
        <is>
          <t>49d6c994-f70f-4568-a029-17ceb92437b7</t>
        </is>
      </c>
      <c r="B793" s="4" t="inlineStr">
        <is>
          <t>Shahwaiz Faisal</t>
        </is>
      </c>
      <c r="C793" s="6" t="inlineStr">
        <is>
          <t>sf554@cornell.edu</t>
        </is>
      </c>
      <c r="D793" s="21" t="n">
        <v>0.4956</v>
      </c>
      <c r="E793" s="22" t="n">
        <v>0.8316</v>
      </c>
      <c r="F793" s="23" t="n">
        <v>1</v>
      </c>
      <c r="G793" s="24">
        <f>D793*H793</f>
        <v>74.34</v>
      </c>
      <c r="H793" s="25" t="n">
        <v>150</v>
      </c>
    </row>
    <row r="794">
      <c r="A794" s="20" t="inlineStr">
        <is>
          <t>df4091e3-bf20-460e-98ae-9666e755f84e</t>
        </is>
      </c>
      <c r="B794" s="4" t="inlineStr">
        <is>
          <t>Shahwaiz Faisal</t>
        </is>
      </c>
      <c r="C794" s="6" t="inlineStr">
        <is>
          <t>sf554@cornell.edu</t>
        </is>
      </c>
      <c r="D794" s="21" t="n">
        <v>0.8196</v>
      </c>
      <c r="E794" s="22" t="n">
        <v>38.2054</v>
      </c>
      <c r="F794" s="23" t="n">
        <v>4</v>
      </c>
      <c r="G794" s="24">
        <f>D794*H794</f>
        <v>122.94</v>
      </c>
      <c r="H794" s="25" t="n">
        <v>150</v>
      </c>
    </row>
    <row r="795">
      <c r="A795" s="20" t="inlineStr">
        <is>
          <t>b3446a75-82eb-41bd-a86a-98020a687867</t>
        </is>
      </c>
      <c r="B795" s="4" t="inlineStr">
        <is>
          <t>Shahwaiz Faisal</t>
        </is>
      </c>
      <c r="C795" s="6" t="inlineStr">
        <is>
          <t>sf554@cornell.edu</t>
        </is>
      </c>
      <c r="D795" s="21" t="n">
        <v>1.1199</v>
      </c>
      <c r="E795" s="22" t="n">
        <v>29.5529</v>
      </c>
      <c r="F795" s="23" t="n">
        <v>3</v>
      </c>
      <c r="G795" s="24">
        <f>D795*H795</f>
        <v>167.98499999999999</v>
      </c>
      <c r="H795" s="25" t="n">
        <v>150</v>
      </c>
    </row>
    <row r="796">
      <c r="A796" s="20" t="inlineStr">
        <is>
          <t>84cd91ce-e152-41fe-9a79-7770ab1dedf2</t>
        </is>
      </c>
      <c r="B796" s="4" t="inlineStr">
        <is>
          <t>Jack Sorensen</t>
        </is>
      </c>
      <c r="C796" s="6" t="inlineStr">
        <is>
          <t>jackfsorensen@gmail.com</t>
        </is>
      </c>
      <c r="D796" s="21" t="n">
        <v>0.7564</v>
      </c>
      <c r="E796" s="22" t="n">
        <v>12.6822</v>
      </c>
      <c r="F796" s="23" t="n">
        <v>2</v>
      </c>
      <c r="G796" s="24">
        <f>D796*H796</f>
        <v>113.46</v>
      </c>
      <c r="H796" s="25" t="n">
        <v>150</v>
      </c>
    </row>
    <row r="797">
      <c r="A797" s="20" t="inlineStr">
        <is>
          <t>ef7b7118-f8b2-4fe0-a967-389ad38254e8</t>
        </is>
      </c>
      <c r="B797" s="4" t="inlineStr">
        <is>
          <t>Jack Sorensen</t>
        </is>
      </c>
      <c r="C797" s="6" t="inlineStr">
        <is>
          <t>jackfsorensen@gmail.com</t>
        </is>
      </c>
      <c r="D797" s="21" t="n">
        <v>0.8285</v>
      </c>
      <c r="E797" s="22" t="n">
        <v>26.8697</v>
      </c>
      <c r="F797" s="23" t="n">
        <v>8</v>
      </c>
      <c r="G797" s="24">
        <f>D797*H797</f>
        <v>124.275</v>
      </c>
      <c r="H797" s="25" t="n">
        <v>150</v>
      </c>
    </row>
    <row r="798">
      <c r="A798" s="20" t="inlineStr">
        <is>
          <t>eafff66d-250b-4a52-a693-795b9d60daf0</t>
        </is>
      </c>
      <c r="B798" s="4" t="inlineStr">
        <is>
          <t>Jack Sorensen</t>
        </is>
      </c>
      <c r="C798" s="6" t="inlineStr">
        <is>
          <t>jackfsorensen@gmail.com</t>
        </is>
      </c>
      <c r="D798" s="21" t="n">
        <v>1.0248</v>
      </c>
      <c r="E798" s="22" t="n">
        <v>1.3697</v>
      </c>
      <c r="F798" s="23" t="n">
        <v>5</v>
      </c>
      <c r="G798" s="24">
        <f>D798*H798</f>
        <v>153.72</v>
      </c>
      <c r="H798" s="25" t="n">
        <v>150</v>
      </c>
    </row>
    <row r="799">
      <c r="A799" s="20" t="inlineStr">
        <is>
          <t>6f43dadf-d4fe-46e3-b5c0-154538fe6314</t>
        </is>
      </c>
      <c r="B799" s="4" t="inlineStr">
        <is>
          <t>Daniel Zalevsky</t>
        </is>
      </c>
      <c r="C799" s="6" t="inlineStr">
        <is>
          <t>danz291517@gmail.com</t>
        </is>
      </c>
      <c r="D799" s="21" t="n">
        <v>0.4226</v>
      </c>
      <c r="E799" s="22" t="n">
        <v>2.5424</v>
      </c>
      <c r="F799" s="23" t="n">
        <v>1</v>
      </c>
      <c r="G799" s="24">
        <f>D799*H799</f>
        <v>63.38999999999999</v>
      </c>
      <c r="H799" s="25" t="n">
        <v>150</v>
      </c>
    </row>
    <row r="800">
      <c r="A800" s="20" t="inlineStr">
        <is>
          <t>1261bac6-9877-4f22-98be-6b545a98ee78</t>
        </is>
      </c>
      <c r="B800" s="4" t="inlineStr">
        <is>
          <t>Daniel Zalevsky</t>
        </is>
      </c>
      <c r="C800" s="6" t="inlineStr">
        <is>
          <t>danz291517@gmail.com</t>
        </is>
      </c>
      <c r="D800" s="21" t="n">
        <v>0.535</v>
      </c>
      <c r="E800" s="22" t="n">
        <v>4.9983</v>
      </c>
      <c r="F800" s="23" t="n">
        <v>3</v>
      </c>
      <c r="G800" s="24">
        <f>D800*H800</f>
        <v>80.25</v>
      </c>
      <c r="H800" s="25" t="n">
        <v>150</v>
      </c>
    </row>
    <row r="801">
      <c r="A801" s="20" t="inlineStr">
        <is>
          <t>b772ab33-efd4-45e4-8146-f13b569d2c5c</t>
        </is>
      </c>
      <c r="B801" s="4" t="inlineStr">
        <is>
          <t>Daniel Zalevsky</t>
        </is>
      </c>
      <c r="C801" s="6" t="inlineStr">
        <is>
          <t>danz291517@gmail.com</t>
        </is>
      </c>
      <c r="D801" s="21" t="n">
        <v>0.5439000000000001</v>
      </c>
      <c r="E801" s="22" t="n">
        <v>12</v>
      </c>
      <c r="F801" s="23" t="n">
        <v>1</v>
      </c>
      <c r="G801" s="24">
        <f>D801*H801</f>
        <v>81.58500000000001</v>
      </c>
      <c r="H801" s="25" t="n">
        <v>150</v>
      </c>
    </row>
    <row r="802">
      <c r="A802" s="20" t="inlineStr">
        <is>
          <t>59751d8d-4be2-47f1-83f8-2a8f724d70c4</t>
        </is>
      </c>
      <c r="B802" s="4" t="inlineStr">
        <is>
          <t>Daniel Zalevsky</t>
        </is>
      </c>
      <c r="C802" s="6" t="inlineStr">
        <is>
          <t>danz291517@gmail.com</t>
        </is>
      </c>
      <c r="D802" s="21" t="n">
        <v>0.5492</v>
      </c>
      <c r="E802" s="22" t="n">
        <v>0.6643</v>
      </c>
      <c r="F802" s="23" t="n">
        <v>1</v>
      </c>
      <c r="G802" s="24">
        <f>D802*H802</f>
        <v>82.38000000000001</v>
      </c>
      <c r="H802" s="25" t="n">
        <v>150</v>
      </c>
    </row>
    <row r="803">
      <c r="A803" s="20" t="inlineStr">
        <is>
          <t>f51adb3d-ec6a-48b9-9d10-da2a605b93b5</t>
        </is>
      </c>
      <c r="B803" s="4" t="inlineStr">
        <is>
          <t>Daniel Zalevsky</t>
        </is>
      </c>
      <c r="C803" s="6" t="inlineStr">
        <is>
          <t>danz291517@gmail.com</t>
        </is>
      </c>
      <c r="D803" s="21" t="n">
        <v>0.5842000000000001</v>
      </c>
      <c r="E803" s="22" t="n">
        <v>16.1407</v>
      </c>
      <c r="F803" s="23" t="n">
        <v>3</v>
      </c>
      <c r="G803" s="24">
        <f>D803*H803</f>
        <v>87.63000000000001</v>
      </c>
      <c r="H803" s="25" t="n">
        <v>150</v>
      </c>
    </row>
    <row r="804">
      <c r="A804" s="20" t="inlineStr">
        <is>
          <t>aebbfd5f-61f2-48ae-9025-82c45ed119a4</t>
        </is>
      </c>
      <c r="B804" s="4" t="inlineStr">
        <is>
          <t>Daniel Zalevsky</t>
        </is>
      </c>
      <c r="C804" s="6" t="inlineStr">
        <is>
          <t>danz291517@gmail.com</t>
        </is>
      </c>
      <c r="D804" s="21" t="n">
        <v>0.626</v>
      </c>
      <c r="E804" s="22" t="n">
        <v>12.7094</v>
      </c>
      <c r="F804" s="23" t="n">
        <v>2</v>
      </c>
      <c r="G804" s="24">
        <f>D804*H804</f>
        <v>93.9</v>
      </c>
      <c r="H804" s="25" t="n">
        <v>150</v>
      </c>
    </row>
    <row r="805">
      <c r="A805" s="20" t="inlineStr">
        <is>
          <t>e6d7fd10-1445-4a98-9678-87232dd8eed5</t>
        </is>
      </c>
      <c r="B805" s="4" t="inlineStr">
        <is>
          <t>Daniel Zalevsky</t>
        </is>
      </c>
      <c r="C805" s="6" t="inlineStr">
        <is>
          <t>danz291517@gmail.com</t>
        </is>
      </c>
      <c r="D805" s="21" t="n">
        <v>0.6405</v>
      </c>
      <c r="E805" s="22" t="n">
        <v>0.7201</v>
      </c>
      <c r="F805" s="23" t="n">
        <v>1</v>
      </c>
      <c r="G805" s="24">
        <f>D805*H805</f>
        <v>96.07499999999999</v>
      </c>
      <c r="H805" s="25" t="n">
        <v>150</v>
      </c>
    </row>
    <row r="806">
      <c r="A806" s="20" t="inlineStr">
        <is>
          <t>db89d5d3-429a-4b75-b6a6-2602d0d55e4b</t>
        </is>
      </c>
      <c r="B806" s="4" t="inlineStr">
        <is>
          <t>Daniel Zalevsky</t>
        </is>
      </c>
      <c r="C806" s="6" t="inlineStr">
        <is>
          <t>danz291517@gmail.com</t>
        </is>
      </c>
      <c r="D806" s="21" t="n">
        <v>0.644</v>
      </c>
      <c r="E806" s="22" t="n">
        <v>0.6977</v>
      </c>
      <c r="F806" s="23" t="n">
        <v>1</v>
      </c>
      <c r="G806" s="24">
        <f>D806*H806</f>
        <v>96.60000000000001</v>
      </c>
      <c r="H806" s="25" t="n">
        <v>150</v>
      </c>
    </row>
    <row r="807">
      <c r="A807" s="20" t="inlineStr">
        <is>
          <t>10a84fc3-a1af-4bbe-b3ed-a2268ff04b51</t>
        </is>
      </c>
      <c r="B807" s="4" t="inlineStr">
        <is>
          <t>Daniel Zalevsky</t>
        </is>
      </c>
      <c r="C807" s="6" t="inlineStr">
        <is>
          <t>danz291517@gmail.com</t>
        </is>
      </c>
      <c r="D807" s="21" t="n">
        <v>0.7030999999999999</v>
      </c>
      <c r="E807" s="22" t="n">
        <v>0.9961</v>
      </c>
      <c r="F807" s="23" t="n">
        <v>1</v>
      </c>
      <c r="G807" s="24">
        <f>D807*H807</f>
        <v>105.46499999999999</v>
      </c>
      <c r="H807" s="25" t="n">
        <v>150</v>
      </c>
    </row>
    <row r="808">
      <c r="A808" s="20" t="inlineStr">
        <is>
          <t>bcc126c8-7cf7-457b-a88a-16dd71ac8ff3</t>
        </is>
      </c>
      <c r="B808" s="4" t="inlineStr">
        <is>
          <t>Daniel Zalevsky</t>
        </is>
      </c>
      <c r="C808" s="6" t="inlineStr">
        <is>
          <t>danz291517@gmail.com</t>
        </is>
      </c>
      <c r="D808" s="21" t="n">
        <v>0.7171999999999999</v>
      </c>
      <c r="E808" s="22" t="n">
        <v>0.7769</v>
      </c>
      <c r="F808" s="23" t="n">
        <v>1</v>
      </c>
      <c r="G808" s="24">
        <f>D808*H808</f>
        <v>107.58</v>
      </c>
      <c r="H808" s="25" t="n">
        <v>150</v>
      </c>
    </row>
    <row r="809">
      <c r="A809" s="20" t="inlineStr">
        <is>
          <t>ff0c1671-00be-47db-bb95-b57657250443</t>
        </is>
      </c>
      <c r="B809" s="4" t="inlineStr">
        <is>
          <t>Daniel Zalevsky</t>
        </is>
      </c>
      <c r="C809" s="6" t="inlineStr">
        <is>
          <t>danz291517@gmail.com</t>
        </is>
      </c>
      <c r="D809" s="21" t="n">
        <v>0.8411</v>
      </c>
      <c r="E809" s="22" t="n">
        <v>2.9284</v>
      </c>
      <c r="F809" s="23" t="n">
        <v>2</v>
      </c>
      <c r="G809" s="24">
        <f>D809*H809</f>
        <v>126.16499999999999</v>
      </c>
      <c r="H809" s="25" t="n">
        <v>150</v>
      </c>
    </row>
    <row r="810">
      <c r="A810" s="20" t="inlineStr">
        <is>
          <t>7eb97ff2-6a83-4081-8400-e592d8e75324</t>
        </is>
      </c>
      <c r="B810" s="4" t="inlineStr">
        <is>
          <t>Daniel Zalevsky</t>
        </is>
      </c>
      <c r="C810" s="6" t="inlineStr">
        <is>
          <t>danz291517@gmail.com</t>
        </is>
      </c>
      <c r="D810" s="21" t="n">
        <v>0.8517</v>
      </c>
      <c r="E810" s="22" t="n">
        <v>5.84</v>
      </c>
      <c r="F810" s="23" t="n">
        <v>2</v>
      </c>
      <c r="G810" s="24">
        <f>D810*H810</f>
        <v>127.755</v>
      </c>
      <c r="H810" s="25" t="n">
        <v>150</v>
      </c>
    </row>
    <row r="811">
      <c r="A811" s="20" t="inlineStr">
        <is>
          <t>b9fa9d10-1ee5-4151-b649-a6293491a97f</t>
        </is>
      </c>
      <c r="B811" s="4" t="inlineStr">
        <is>
          <t>Daniel Zalevsky</t>
        </is>
      </c>
      <c r="C811" s="6" t="inlineStr">
        <is>
          <t>danz291517@gmail.com</t>
        </is>
      </c>
      <c r="D811" s="21" t="n">
        <v>0.8974</v>
      </c>
      <c r="E811" s="22" t="n">
        <v>2.6956</v>
      </c>
      <c r="F811" s="23" t="n">
        <v>4</v>
      </c>
      <c r="G811" s="24">
        <f>D811*H811</f>
        <v>134.60999999999999</v>
      </c>
      <c r="H811" s="25" t="n">
        <v>150</v>
      </c>
    </row>
    <row r="812">
      <c r="A812" s="20" t="inlineStr">
        <is>
          <t>b2dda4a9-31f5-4f53-a065-0faa814ca1b4</t>
        </is>
      </c>
      <c r="B812" s="4" t="inlineStr">
        <is>
          <t>Daniel Zalevsky</t>
        </is>
      </c>
      <c r="C812" s="6" t="inlineStr">
        <is>
          <t>danz291517@gmail.com</t>
        </is>
      </c>
      <c r="D812" s="21" t="n">
        <v>0.9002</v>
      </c>
      <c r="E812" s="22" t="n">
        <v>2.4281</v>
      </c>
      <c r="F812" s="23" t="n">
        <v>1</v>
      </c>
      <c r="G812" s="24">
        <f>D812*H812</f>
        <v>135.03</v>
      </c>
      <c r="H812" s="25" t="n">
        <v>150</v>
      </c>
    </row>
    <row r="813">
      <c r="A813" s="20" t="inlineStr">
        <is>
          <t>3edf6c8d-5a62-44a4-918c-88fea1ac6017</t>
        </is>
      </c>
      <c r="B813" s="4" t="inlineStr">
        <is>
          <t>Daniel Zalevsky</t>
        </is>
      </c>
      <c r="C813" s="6" t="inlineStr">
        <is>
          <t>danz291517@gmail.com</t>
        </is>
      </c>
      <c r="D813" s="21" t="n">
        <v>0.971</v>
      </c>
      <c r="E813" s="22" t="n">
        <v>42.8699</v>
      </c>
      <c r="F813" s="23" t="n">
        <v>5</v>
      </c>
      <c r="G813" s="24">
        <f>D813*H813</f>
        <v>145.65</v>
      </c>
      <c r="H813" s="25" t="n">
        <v>150</v>
      </c>
    </row>
    <row r="814">
      <c r="A814" s="20" t="inlineStr">
        <is>
          <t>440ac06a-271d-413e-b559-6e3092383f96</t>
        </is>
      </c>
      <c r="B814" s="4" t="inlineStr">
        <is>
          <t>Daniel Zalevsky</t>
        </is>
      </c>
      <c r="C814" s="6" t="inlineStr">
        <is>
          <t>danz291517@gmail.com</t>
        </is>
      </c>
      <c r="D814" s="21" t="n">
        <v>0.987</v>
      </c>
      <c r="E814" s="22" t="n">
        <v>7.8923</v>
      </c>
      <c r="F814" s="23" t="n">
        <v>2</v>
      </c>
      <c r="G814" s="24">
        <f>D814*H814</f>
        <v>148.05</v>
      </c>
      <c r="H814" s="25" t="n">
        <v>150</v>
      </c>
    </row>
    <row r="815">
      <c r="A815" s="20" t="inlineStr">
        <is>
          <t>198494b8-87eb-44ca-92bd-9b22d231bb07</t>
        </is>
      </c>
      <c r="B815" s="4" t="inlineStr">
        <is>
          <t>Daniel Zalevsky</t>
        </is>
      </c>
      <c r="C815" s="6" t="inlineStr">
        <is>
          <t>danz291517@gmail.com</t>
        </is>
      </c>
      <c r="D815" s="21" t="n">
        <v>1.0166</v>
      </c>
      <c r="E815" s="22" t="n">
        <v>5.6235</v>
      </c>
      <c r="F815" s="23" t="n">
        <v>1</v>
      </c>
      <c r="G815" s="24">
        <f>D815*H815</f>
        <v>152.48999999999998</v>
      </c>
      <c r="H815" s="25" t="n">
        <v>150</v>
      </c>
    </row>
    <row r="816">
      <c r="A816" s="20" t="inlineStr">
        <is>
          <t>fbd0323f-a742-45a6-b676-d08a402ed87f</t>
        </is>
      </c>
      <c r="B816" s="4" t="inlineStr">
        <is>
          <t>Daniel Zalevsky</t>
        </is>
      </c>
      <c r="C816" s="6" t="inlineStr">
        <is>
          <t>danz291517@gmail.com</t>
        </is>
      </c>
      <c r="D816" s="21" t="n">
        <v>1.0332</v>
      </c>
      <c r="E816" s="22" t="n">
        <v>12.7384</v>
      </c>
      <c r="F816" s="23" t="n">
        <v>2</v>
      </c>
      <c r="G816" s="24">
        <f>D816*H816</f>
        <v>154.98</v>
      </c>
      <c r="H816" s="25" t="n">
        <v>150</v>
      </c>
    </row>
    <row r="817">
      <c r="A817" s="20" t="inlineStr">
        <is>
          <t>7fae65df-8a13-4e04-bfd5-54b67482311d</t>
        </is>
      </c>
      <c r="B817" s="4" t="inlineStr">
        <is>
          <t>Daniel Zalevsky</t>
        </is>
      </c>
      <c r="C817" s="6" t="inlineStr">
        <is>
          <t>danz291517@gmail.com</t>
        </is>
      </c>
      <c r="D817" s="21" t="n">
        <v>1.1552</v>
      </c>
      <c r="E817" s="22" t="n">
        <v>5.1568</v>
      </c>
      <c r="F817" s="23" t="n">
        <v>1</v>
      </c>
      <c r="G817" s="24">
        <f>D817*H817</f>
        <v>173.28</v>
      </c>
      <c r="H817" s="25" t="n">
        <v>150</v>
      </c>
    </row>
    <row r="818">
      <c r="A818" s="20" t="inlineStr">
        <is>
          <t>d96da31d-7027-478a-b7b4-a861d45c4eef</t>
        </is>
      </c>
      <c r="B818" s="4" t="inlineStr">
        <is>
          <t>Daniel Zalevsky</t>
        </is>
      </c>
      <c r="C818" s="6" t="inlineStr">
        <is>
          <t>danz291517@gmail.com</t>
        </is>
      </c>
      <c r="D818" s="21" t="n">
        <v>1.5208</v>
      </c>
      <c r="E818" s="22" t="n">
        <v>10.1645</v>
      </c>
      <c r="F818" s="23" t="n">
        <v>4</v>
      </c>
      <c r="G818" s="24">
        <f>D818*H818</f>
        <v>228.11999999999998</v>
      </c>
      <c r="H818" s="25" t="n">
        <v>150</v>
      </c>
    </row>
    <row r="819">
      <c r="A819" s="20" t="inlineStr">
        <is>
          <t>3d15ea1f-7d00-4d57-8483-3fd38ac029f7</t>
        </is>
      </c>
      <c r="B819" s="4" t="inlineStr">
        <is>
          <t>Daniel Zalevsky</t>
        </is>
      </c>
      <c r="C819" s="6" t="inlineStr">
        <is>
          <t>danz291517@gmail.com</t>
        </is>
      </c>
      <c r="D819" s="21" t="n">
        <v>2.0851</v>
      </c>
      <c r="E819" s="22" t="n">
        <v>17.4127</v>
      </c>
      <c r="F819" s="23" t="n">
        <v>7</v>
      </c>
      <c r="G819" s="24">
        <f>D819*H819</f>
        <v>312.76500000000004</v>
      </c>
      <c r="H819" s="25" t="n">
        <v>150</v>
      </c>
    </row>
    <row r="820">
      <c r="A820" s="20" t="inlineStr">
        <is>
          <t>cbe2b281-3316-4d93-9930-90803d0046f0</t>
        </is>
      </c>
      <c r="B820" s="4" t="inlineStr">
        <is>
          <t>Francisco Cerqueira</t>
        </is>
      </c>
      <c r="C820" s="6" t="inlineStr">
        <is>
          <t>cerqueirafda@gmail.com</t>
        </is>
      </c>
      <c r="D820" s="21" t="n">
        <v>0.1652</v>
      </c>
      <c r="E820" s="22" t="n">
        <v>1.2175</v>
      </c>
      <c r="F820" s="23" t="n">
        <v>1</v>
      </c>
      <c r="G820" s="24">
        <f>D820*H820</f>
        <v>28.910000000000004</v>
      </c>
      <c r="H820" s="25" t="n">
        <v>175</v>
      </c>
    </row>
    <row r="821">
      <c r="A821" s="20" t="inlineStr">
        <is>
          <t>5921080f-8f9c-413e-9cce-ad10a1704d52</t>
        </is>
      </c>
      <c r="B821" s="4" t="inlineStr">
        <is>
          <t>Francisco Cerqueira</t>
        </is>
      </c>
      <c r="C821" s="6" t="inlineStr">
        <is>
          <t>cerqueirafda@gmail.com</t>
        </is>
      </c>
      <c r="D821" s="21" t="n">
        <v>0.7212</v>
      </c>
      <c r="E821" s="22" t="n">
        <v>12.2882</v>
      </c>
      <c r="F821" s="23" t="n">
        <v>2</v>
      </c>
      <c r="G821" s="24">
        <f>D821*H821</f>
        <v>126.21</v>
      </c>
      <c r="H821" s="25" t="n">
        <v>175</v>
      </c>
    </row>
    <row r="822">
      <c r="A822" s="20" t="inlineStr">
        <is>
          <t>3b3c08fb-819e-459e-9943-558695ebee90</t>
        </is>
      </c>
      <c r="B822" s="4" t="inlineStr">
        <is>
          <t>Francisco Cerqueira</t>
        </is>
      </c>
      <c r="C822" s="6" t="inlineStr">
        <is>
          <t>cerqueirafda@gmail.com</t>
        </is>
      </c>
      <c r="D822" s="21" t="n">
        <v>0.8445</v>
      </c>
      <c r="E822" s="22" t="n">
        <v>30.816</v>
      </c>
      <c r="F822" s="23" t="n">
        <v>4</v>
      </c>
      <c r="G822" s="24">
        <f>D822*H822</f>
        <v>147.7875</v>
      </c>
      <c r="H822" s="25" t="n">
        <v>175</v>
      </c>
    </row>
    <row r="823">
      <c r="A823" s="20" t="inlineStr">
        <is>
          <t>56d185b8-fe3a-4313-920b-4bbf2d06974e</t>
        </is>
      </c>
      <c r="B823" s="4" t="inlineStr">
        <is>
          <t>Francisco Cerqueira</t>
        </is>
      </c>
      <c r="C823" s="6" t="inlineStr">
        <is>
          <t>cerqueirafda@gmail.com</t>
        </is>
      </c>
      <c r="D823" s="21" t="n">
        <v>0.8956</v>
      </c>
      <c r="E823" s="22" t="n">
        <v>15.2812</v>
      </c>
      <c r="F823" s="23" t="n">
        <v>2</v>
      </c>
      <c r="G823" s="24">
        <f>D823*H823</f>
        <v>156.73</v>
      </c>
      <c r="H823" s="25" t="n">
        <v>175</v>
      </c>
    </row>
    <row r="824">
      <c r="A824" s="20" t="inlineStr">
        <is>
          <t>76ad0e43-610f-4991-a90a-55007ed0c525</t>
        </is>
      </c>
      <c r="B824" s="4" t="inlineStr">
        <is>
          <t>Francisco Cerqueira</t>
        </is>
      </c>
      <c r="C824" s="6" t="inlineStr">
        <is>
          <t>cerqueirafda@gmail.com</t>
        </is>
      </c>
      <c r="D824" s="21" t="n">
        <v>1.0527</v>
      </c>
      <c r="E824" s="22" t="n">
        <v>36.7155</v>
      </c>
      <c r="F824" s="23" t="n">
        <v>4</v>
      </c>
      <c r="G824" s="24">
        <f>D824*H824</f>
        <v>184.2225</v>
      </c>
      <c r="H824" s="25" t="n">
        <v>175</v>
      </c>
    </row>
    <row r="825">
      <c r="A825" s="20" t="inlineStr">
        <is>
          <t>404059ca-3136-444a-afe3-d7eb1cee81d2</t>
        </is>
      </c>
      <c r="B825" s="4" t="inlineStr">
        <is>
          <t>Alexander Koblansky</t>
        </is>
      </c>
      <c r="C825" s="6" t="inlineStr">
        <is>
          <t>alexkoblansky@gmail.com</t>
        </is>
      </c>
      <c r="D825" s="21" t="n">
        <v>0.0673</v>
      </c>
      <c r="E825" s="22" t="n">
        <v>0.099</v>
      </c>
      <c r="F825" s="23" t="n">
        <v>1</v>
      </c>
      <c r="G825" s="24">
        <f>D825*H825</f>
        <v>10.095</v>
      </c>
      <c r="H825" s="25" t="n">
        <v>150</v>
      </c>
    </row>
    <row r="826">
      <c r="A826" s="20" t="inlineStr">
        <is>
          <t>0d88374e-4170-43cb-adb9-74007bcb67fb</t>
        </is>
      </c>
      <c r="B826" s="4" t="inlineStr">
        <is>
          <t>Alexander Koblansky</t>
        </is>
      </c>
      <c r="C826" s="6" t="inlineStr">
        <is>
          <t>alexkoblansky@gmail.com</t>
        </is>
      </c>
      <c r="D826" s="21" t="n">
        <v>0.0977</v>
      </c>
      <c r="E826" s="22" t="n">
        <v>0.1905</v>
      </c>
      <c r="F826" s="23" t="n">
        <v>2</v>
      </c>
      <c r="G826" s="24">
        <f>D826*H826</f>
        <v>14.655</v>
      </c>
      <c r="H826" s="25" t="n">
        <v>150</v>
      </c>
    </row>
    <row r="827">
      <c r="A827" s="20" t="inlineStr">
        <is>
          <t>5fd7af3e-a90d-4a68-9e7f-c7f44d265de0</t>
        </is>
      </c>
      <c r="B827" s="4" t="inlineStr">
        <is>
          <t>Alexander Koblansky</t>
        </is>
      </c>
      <c r="C827" s="6" t="inlineStr">
        <is>
          <t>alexkoblansky@gmail.com</t>
        </is>
      </c>
      <c r="D827" s="21" t="n">
        <v>0.1305</v>
      </c>
      <c r="E827" s="22" t="n">
        <v>0.8217</v>
      </c>
      <c r="F827" s="23" t="n">
        <v>2</v>
      </c>
      <c r="G827" s="24">
        <f>D827*H827</f>
        <v>19.575</v>
      </c>
      <c r="H827" s="25" t="n">
        <v>150</v>
      </c>
    </row>
    <row r="828">
      <c r="A828" s="20" t="inlineStr">
        <is>
          <t>007326ad-b5bd-4b44-ba6c-5c307660b234</t>
        </is>
      </c>
      <c r="B828" s="4" t="inlineStr">
        <is>
          <t>Alexander Koblansky</t>
        </is>
      </c>
      <c r="C828" s="6" t="inlineStr">
        <is>
          <t>alexkoblansky@gmail.com</t>
        </is>
      </c>
      <c r="D828" s="21" t="n">
        <v>0.2308</v>
      </c>
      <c r="E828" s="22" t="n">
        <v>0.3403</v>
      </c>
      <c r="F828" s="23" t="n">
        <v>2</v>
      </c>
      <c r="G828" s="24">
        <f>D828*H828</f>
        <v>34.62</v>
      </c>
      <c r="H828" s="25" t="n">
        <v>150</v>
      </c>
    </row>
    <row r="829">
      <c r="A829" s="20" t="inlineStr">
        <is>
          <t>c18559a4-9aa1-481b-a6e8-e1e64176f42c</t>
        </is>
      </c>
      <c r="B829" s="4" t="inlineStr">
        <is>
          <t>Alexander Koblansky</t>
        </is>
      </c>
      <c r="C829" s="6" t="inlineStr">
        <is>
          <t>alexkoblansky@gmail.com</t>
        </is>
      </c>
      <c r="D829" s="21" t="n">
        <v>0.3563</v>
      </c>
      <c r="E829" s="22" t="n">
        <v>9.7097</v>
      </c>
      <c r="F829" s="23" t="n">
        <v>4</v>
      </c>
      <c r="G829" s="24">
        <f>D829*H829</f>
        <v>53.445</v>
      </c>
      <c r="H829" s="25" t="n">
        <v>150</v>
      </c>
    </row>
    <row r="830">
      <c r="A830" s="20" t="inlineStr">
        <is>
          <t>74533394-222b-43ae-b7a2-61b485698e38</t>
        </is>
      </c>
      <c r="B830" s="4" t="inlineStr">
        <is>
          <t>Alexander Koblansky</t>
        </is>
      </c>
      <c r="C830" s="6" t="inlineStr">
        <is>
          <t>alexkoblansky@gmail.com</t>
        </is>
      </c>
      <c r="D830" s="21" t="n">
        <v>0.4199</v>
      </c>
      <c r="E830" s="22" t="n">
        <v>3.9773</v>
      </c>
      <c r="F830" s="23" t="n">
        <v>2</v>
      </c>
      <c r="G830" s="24">
        <f>D830*H830</f>
        <v>62.985</v>
      </c>
      <c r="H830" s="25" t="n">
        <v>150</v>
      </c>
    </row>
    <row r="831">
      <c r="A831" s="20" t="inlineStr">
        <is>
          <t>11688d7c-bfa2-42c0-b117-ffe4f8528172</t>
        </is>
      </c>
      <c r="B831" s="4" t="inlineStr">
        <is>
          <t>Alexander Koblansky</t>
        </is>
      </c>
      <c r="C831" s="6" t="inlineStr">
        <is>
          <t>alexkoblansky@gmail.com</t>
        </is>
      </c>
      <c r="D831" s="21" t="n">
        <v>0.5044</v>
      </c>
      <c r="E831" s="22" t="n">
        <v>9.647500000000001</v>
      </c>
      <c r="F831" s="23" t="n">
        <v>3</v>
      </c>
      <c r="G831" s="24">
        <f>D831*H831</f>
        <v>75.66</v>
      </c>
      <c r="H831" s="25" t="n">
        <v>150</v>
      </c>
    </row>
    <row r="832">
      <c r="A832" s="20" t="inlineStr">
        <is>
          <t>9637a46b-5c5f-42df-aa02-45c10c6572a2</t>
        </is>
      </c>
      <c r="B832" s="4" t="inlineStr">
        <is>
          <t>Alexander Koblansky</t>
        </is>
      </c>
      <c r="C832" s="6" t="inlineStr">
        <is>
          <t>alexkoblansky@gmail.com</t>
        </is>
      </c>
      <c r="D832" s="21" t="n">
        <v>0.5214</v>
      </c>
      <c r="E832" s="22" t="n">
        <v>4.5427</v>
      </c>
      <c r="F832" s="23" t="n">
        <v>2</v>
      </c>
      <c r="G832" s="24">
        <f>D832*H832</f>
        <v>78.21</v>
      </c>
      <c r="H832" s="25" t="n">
        <v>150</v>
      </c>
    </row>
    <row r="833">
      <c r="A833" s="20" t="inlineStr">
        <is>
          <t>bf5aaf0a-8998-4b97-9832-a700267cd741</t>
        </is>
      </c>
      <c r="B833" s="4" t="inlineStr">
        <is>
          <t>Alexander Koblansky</t>
        </is>
      </c>
      <c r="C833" s="6" t="inlineStr">
        <is>
          <t>alexkoblansky@gmail.com</t>
        </is>
      </c>
      <c r="D833" s="21" t="n">
        <v>0.6887</v>
      </c>
      <c r="E833" s="22" t="n">
        <v>3.9797</v>
      </c>
      <c r="F833" s="23" t="n">
        <v>3</v>
      </c>
      <c r="G833" s="24">
        <f>D833*H833</f>
        <v>103.30499999999999</v>
      </c>
      <c r="H833" s="25" t="n">
        <v>150</v>
      </c>
    </row>
    <row r="834">
      <c r="A834" s="20" t="inlineStr">
        <is>
          <t>1d261db1-109a-43bf-9355-11881d30b5b2</t>
        </is>
      </c>
      <c r="B834" s="4" t="inlineStr">
        <is>
          <t>Alexander Koblansky</t>
        </is>
      </c>
      <c r="C834" s="6" t="inlineStr">
        <is>
          <t>alexkoblansky@gmail.com</t>
        </is>
      </c>
      <c r="D834" s="21" t="n">
        <v>0.8057</v>
      </c>
      <c r="E834" s="22" t="n">
        <v>1.3476</v>
      </c>
      <c r="F834" s="23" t="n">
        <v>4</v>
      </c>
      <c r="G834" s="24">
        <f>D834*H834</f>
        <v>120.85499999999999</v>
      </c>
      <c r="H834" s="25" t="n">
        <v>150</v>
      </c>
    </row>
    <row r="835">
      <c r="A835" s="20" t="inlineStr">
        <is>
          <t>5e07d811-3e34-45b8-83ed-6e5cdd02eed0</t>
        </is>
      </c>
      <c r="B835" s="4" t="inlineStr">
        <is>
          <t>Alexander Koblansky</t>
        </is>
      </c>
      <c r="C835" s="6" t="inlineStr">
        <is>
          <t>alexkoblansky@gmail.com</t>
        </is>
      </c>
      <c r="D835" s="21" t="n">
        <v>0.8173</v>
      </c>
      <c r="E835" s="22" t="n">
        <v>1.7072</v>
      </c>
      <c r="F835" s="23" t="n">
        <v>4</v>
      </c>
      <c r="G835" s="24">
        <f>D835*H835</f>
        <v>122.595</v>
      </c>
      <c r="H835" s="25" t="n">
        <v>150</v>
      </c>
    </row>
    <row r="836">
      <c r="A836" s="20" t="inlineStr">
        <is>
          <t>6d27f95b-8188-4b11-9806-6805a291519a</t>
        </is>
      </c>
      <c r="B836" s="4" t="inlineStr">
        <is>
          <t>Alexander Koblansky</t>
        </is>
      </c>
      <c r="C836" s="6" t="inlineStr">
        <is>
          <t>alexkoblansky@gmail.com</t>
        </is>
      </c>
      <c r="D836" s="21" t="n">
        <v>0.8544</v>
      </c>
      <c r="E836" s="22" t="n">
        <v>4.4313</v>
      </c>
      <c r="F836" s="23" t="n">
        <v>2</v>
      </c>
      <c r="G836" s="24">
        <f>D836*H836</f>
        <v>128.16</v>
      </c>
      <c r="H836" s="25" t="n">
        <v>150</v>
      </c>
    </row>
    <row r="837">
      <c r="A837" s="20" t="inlineStr">
        <is>
          <t>3bb7aced-01ca-4c63-95bd-88e27e34a215</t>
        </is>
      </c>
      <c r="B837" s="4" t="inlineStr">
        <is>
          <t>Alexander Koblansky</t>
        </is>
      </c>
      <c r="C837" s="6" t="inlineStr">
        <is>
          <t>alexkoblansky@gmail.com</t>
        </is>
      </c>
      <c r="D837" s="21" t="n">
        <v>0.9371</v>
      </c>
      <c r="E837" s="22" t="n">
        <v>12.066</v>
      </c>
      <c r="F837" s="23" t="n">
        <v>4</v>
      </c>
      <c r="G837" s="24">
        <f>D837*H837</f>
        <v>140.565</v>
      </c>
      <c r="H837" s="25" t="n">
        <v>150</v>
      </c>
    </row>
    <row r="838">
      <c r="A838" s="20" t="inlineStr">
        <is>
          <t>c6bc931a-7551-41b0-8ca8-3fb1d3e732ff</t>
        </is>
      </c>
      <c r="B838" s="4" t="inlineStr">
        <is>
          <t>Alexander Koblansky</t>
        </is>
      </c>
      <c r="C838" s="6" t="inlineStr">
        <is>
          <t>alexkoblansky@gmail.com</t>
        </is>
      </c>
      <c r="D838" s="21" t="n">
        <v>0.9782</v>
      </c>
      <c r="E838" s="22" t="n">
        <v>1.7689</v>
      </c>
      <c r="F838" s="23" t="n">
        <v>5</v>
      </c>
      <c r="G838" s="24">
        <f>D838*H838</f>
        <v>146.73</v>
      </c>
      <c r="H838" s="25" t="n">
        <v>150</v>
      </c>
    </row>
    <row r="839">
      <c r="A839" s="20" t="inlineStr">
        <is>
          <t>256fe5b8-e327-4f4f-9b26-83a748f39b83</t>
        </is>
      </c>
      <c r="B839" s="4" t="inlineStr">
        <is>
          <t>Alexander Koblansky</t>
        </is>
      </c>
      <c r="C839" s="6" t="inlineStr">
        <is>
          <t>alexkoblansky@gmail.com</t>
        </is>
      </c>
      <c r="D839" s="21" t="n">
        <v>1.1129</v>
      </c>
      <c r="E839" s="22" t="n">
        <v>12.9195</v>
      </c>
      <c r="F839" s="23" t="n">
        <v>4</v>
      </c>
      <c r="G839" s="24">
        <f>D839*H839</f>
        <v>166.935</v>
      </c>
      <c r="H839" s="25" t="n">
        <v>150</v>
      </c>
    </row>
    <row r="840">
      <c r="A840" s="20" t="inlineStr">
        <is>
          <t>e1522d70-29ca-49ad-9f1f-2b6609c277fc</t>
        </is>
      </c>
      <c r="B840" s="4" t="inlineStr">
        <is>
          <t>Alexander Koblansky</t>
        </is>
      </c>
      <c r="C840" s="6" t="inlineStr">
        <is>
          <t>alexkoblansky@gmail.com</t>
        </is>
      </c>
      <c r="D840" s="21" t="n">
        <v>1.2168</v>
      </c>
      <c r="E840" s="22" t="n">
        <v>14.0399</v>
      </c>
      <c r="F840" s="23" t="n">
        <v>8</v>
      </c>
      <c r="G840" s="24">
        <f>D840*H840</f>
        <v>182.52</v>
      </c>
      <c r="H840" s="25" t="n">
        <v>150</v>
      </c>
    </row>
    <row r="841">
      <c r="A841" s="20" t="inlineStr">
        <is>
          <t>bca1f83a-8569-4d96-8fdd-b482d7acedb8</t>
        </is>
      </c>
      <c r="B841" s="4" t="inlineStr">
        <is>
          <t>Alexander Koblansky</t>
        </is>
      </c>
      <c r="C841" s="6" t="inlineStr">
        <is>
          <t>alexkoblansky@gmail.com</t>
        </is>
      </c>
      <c r="D841" s="21" t="n">
        <v>1.3169</v>
      </c>
      <c r="E841" s="22" t="n">
        <v>12.7512</v>
      </c>
      <c r="F841" s="23" t="n">
        <v>4</v>
      </c>
      <c r="G841" s="24">
        <f>D841*H841</f>
        <v>197.535</v>
      </c>
      <c r="H841" s="25" t="n">
        <v>150</v>
      </c>
    </row>
    <row r="842">
      <c r="A842" s="20" t="inlineStr">
        <is>
          <t>c0d6c985-b5c5-48d2-b903-67b33db3a560</t>
        </is>
      </c>
      <c r="B842" s="4" t="inlineStr">
        <is>
          <t>Alexander Koblansky</t>
        </is>
      </c>
      <c r="C842" s="6" t="inlineStr">
        <is>
          <t>alexkoblansky@gmail.com</t>
        </is>
      </c>
      <c r="D842" s="21" t="n">
        <v>1.4799</v>
      </c>
      <c r="E842" s="22" t="n">
        <v>29.0668</v>
      </c>
      <c r="F842" s="23" t="n">
        <v>4</v>
      </c>
      <c r="G842" s="24">
        <f>D842*H842</f>
        <v>221.98499999999999</v>
      </c>
      <c r="H842" s="25" t="n">
        <v>150</v>
      </c>
    </row>
    <row r="843">
      <c r="A843" s="20" t="inlineStr">
        <is>
          <t>43faf919-9bae-4a06-9bf6-dd388b1172a1</t>
        </is>
      </c>
      <c r="B843" s="4" t="inlineStr">
        <is>
          <t>Alexander Koblansky</t>
        </is>
      </c>
      <c r="C843" s="6" t="inlineStr">
        <is>
          <t>alexkoblansky@gmail.com</t>
        </is>
      </c>
      <c r="D843" s="21" t="n">
        <v>1.7081</v>
      </c>
      <c r="E843" s="22" t="n">
        <v>12.0031</v>
      </c>
      <c r="F843" s="23" t="n">
        <v>2</v>
      </c>
      <c r="G843" s="24">
        <f>D843*H843</f>
        <v>256.215</v>
      </c>
      <c r="H843" s="25" t="n">
        <v>150</v>
      </c>
    </row>
    <row r="844">
      <c r="A844" s="20" t="inlineStr">
        <is>
          <t>e6e391fc-5149-44e8-bb18-1a0c4f8d6297</t>
        </is>
      </c>
      <c r="B844" s="4" t="inlineStr">
        <is>
          <t>Alexander Koblansky</t>
        </is>
      </c>
      <c r="C844" s="6" t="inlineStr">
        <is>
          <t>alexkoblansky@gmail.com</t>
        </is>
      </c>
      <c r="D844" s="21" t="n">
        <v>2.248</v>
      </c>
      <c r="E844" s="22" t="n">
        <v>12.6888</v>
      </c>
      <c r="F844" s="23" t="n">
        <v>10</v>
      </c>
      <c r="G844" s="24">
        <f>D844*H844</f>
        <v>337.20000000000005</v>
      </c>
      <c r="H844" s="25" t="n">
        <v>150</v>
      </c>
    </row>
    <row r="845">
      <c r="A845" s="20" t="inlineStr">
        <is>
          <t>bd5df34b-19d5-418e-a94c-bf899b29c36d</t>
        </is>
      </c>
      <c r="B845" s="4" t="inlineStr">
        <is>
          <t>Alexander Koblansky</t>
        </is>
      </c>
      <c r="C845" s="6" t="inlineStr">
        <is>
          <t>alexkoblansky@gmail.com</t>
        </is>
      </c>
      <c r="D845" s="21" t="n">
        <v>2.8325</v>
      </c>
      <c r="E845" s="22" t="n">
        <v>13.934</v>
      </c>
      <c r="F845" s="23" t="n">
        <v>11</v>
      </c>
      <c r="G845" s="24">
        <f>D845*H845</f>
        <v>424.875</v>
      </c>
      <c r="H845" s="25" t="n">
        <v>150</v>
      </c>
    </row>
    <row r="846">
      <c r="A846" s="20" t="inlineStr">
        <is>
          <t>6fcc4bd7-68b7-41f3-a560-1df8ce03c13d</t>
        </is>
      </c>
      <c r="B846" s="4" t="inlineStr">
        <is>
          <t>Alexander Koblansky</t>
        </is>
      </c>
      <c r="C846" s="6" t="inlineStr">
        <is>
          <t>alexkoblansky@gmail.com</t>
        </is>
      </c>
      <c r="D846" s="21" t="n">
        <v>3.7641</v>
      </c>
      <c r="E846" s="22" t="n">
        <v>73.7585</v>
      </c>
      <c r="F846" s="23" t="n">
        <v>11</v>
      </c>
      <c r="G846" s="24">
        <f>D846*H846</f>
        <v>564.615</v>
      </c>
      <c r="H846" s="25" t="n">
        <v>150</v>
      </c>
    </row>
    <row r="847">
      <c r="A847" s="20" t="inlineStr">
        <is>
          <t>8f1f2287-79a3-4812-aef7-883889a6f85d</t>
        </is>
      </c>
      <c r="B847" s="4" t="inlineStr">
        <is>
          <t>Alexander Koblansky</t>
        </is>
      </c>
      <c r="C847" s="6" t="inlineStr">
        <is>
          <t>alexkoblansky@gmail.com</t>
        </is>
      </c>
      <c r="D847" s="21" t="n">
        <v>3.9973</v>
      </c>
      <c r="E847" s="22" t="n">
        <v>43.1123</v>
      </c>
      <c r="F847" s="23" t="n">
        <v>8</v>
      </c>
      <c r="G847" s="24">
        <f>D847*H847</f>
        <v>599.595</v>
      </c>
      <c r="H847" s="25" t="n">
        <v>150</v>
      </c>
    </row>
    <row r="848">
      <c r="A848" s="20" t="inlineStr">
        <is>
          <t>1516e3d0-6a91-45d2-8df2-8f0e89b75ed2</t>
        </is>
      </c>
      <c r="B848" s="4" t="inlineStr">
        <is>
          <t>Mia Chamoun</t>
        </is>
      </c>
      <c r="C848" s="6" t="inlineStr">
        <is>
          <t>miachamoun79@gmail.com</t>
        </is>
      </c>
      <c r="D848" s="21" t="n">
        <v>1.0027</v>
      </c>
      <c r="E848" s="22" t="n">
        <v>1.3688</v>
      </c>
      <c r="F848" s="23" t="n">
        <v>2</v>
      </c>
      <c r="G848" s="24">
        <f>D848*H848</f>
        <v>150.405</v>
      </c>
      <c r="H848" s="25" t="n">
        <v>150</v>
      </c>
    </row>
    <row r="849">
      <c r="A849" s="20" t="inlineStr">
        <is>
          <t>00fd1ff0-3df4-4b3b-b877-821f0b6a9e45</t>
        </is>
      </c>
      <c r="B849" s="4" t="inlineStr">
        <is>
          <t>Mia Chamoun</t>
        </is>
      </c>
      <c r="C849" s="6" t="inlineStr">
        <is>
          <t>miachamoun79@gmail.com</t>
        </is>
      </c>
      <c r="D849" s="21" t="n">
        <v>1.0111</v>
      </c>
      <c r="E849" s="22" t="n">
        <v>1.3713</v>
      </c>
      <c r="F849" s="23" t="n">
        <v>1</v>
      </c>
      <c r="G849" s="24">
        <f>D849*H849</f>
        <v>151.66500000000002</v>
      </c>
      <c r="H849" s="25" t="n">
        <v>150</v>
      </c>
    </row>
    <row r="850">
      <c r="A850" s="20" t="inlineStr">
        <is>
          <t>14841048-430b-48e8-9527-15a0cca19657</t>
        </is>
      </c>
      <c r="B850" s="4" t="inlineStr">
        <is>
          <t>Will Briley</t>
        </is>
      </c>
      <c r="C850" s="6" t="inlineStr">
        <is>
          <t>wpbriley@gmail.com</t>
        </is>
      </c>
      <c r="D850" s="21" t="n">
        <v>0.4658</v>
      </c>
      <c r="E850" s="22" t="n">
        <v>0.9718</v>
      </c>
      <c r="F850" s="23" t="n">
        <v>1</v>
      </c>
      <c r="G850" s="24">
        <f>D850*H850</f>
        <v>69.87</v>
      </c>
      <c r="H850" s="25" t="n">
        <v>150</v>
      </c>
    </row>
    <row r="851">
      <c r="A851" s="20" t="inlineStr">
        <is>
          <t>07db6794-120a-4be1-bfc9-d4ab38d4e8b2</t>
        </is>
      </c>
      <c r="B851" s="4" t="inlineStr">
        <is>
          <t>Will Briley</t>
        </is>
      </c>
      <c r="C851" s="6" t="inlineStr">
        <is>
          <t>wpbriley@gmail.com</t>
        </is>
      </c>
      <c r="D851" s="21" t="n">
        <v>0.6042999999999999</v>
      </c>
      <c r="E851" s="22" t="n">
        <v>2.1279</v>
      </c>
      <c r="F851" s="23" t="n">
        <v>1</v>
      </c>
      <c r="G851" s="24">
        <f>D851*H851</f>
        <v>90.645</v>
      </c>
      <c r="H851" s="25" t="n">
        <v>150</v>
      </c>
    </row>
    <row r="852">
      <c r="A852" s="20" t="inlineStr">
        <is>
          <t>6629c85a-7f86-493f-9b3b-cdeb9955eac2</t>
        </is>
      </c>
      <c r="B852" s="4" t="inlineStr">
        <is>
          <t>Will Briley</t>
        </is>
      </c>
      <c r="C852" s="6" t="inlineStr">
        <is>
          <t>wpbriley@gmail.com</t>
        </is>
      </c>
      <c r="D852" s="21" t="n">
        <v>0.6248</v>
      </c>
      <c r="E852" s="22" t="n">
        <v>12.4329</v>
      </c>
      <c r="F852" s="23" t="n">
        <v>2</v>
      </c>
      <c r="G852" s="24">
        <f>D852*H852</f>
        <v>93.72</v>
      </c>
      <c r="H852" s="25" t="n">
        <v>150</v>
      </c>
    </row>
    <row r="853">
      <c r="A853" s="20" t="inlineStr">
        <is>
          <t>040c91fe-3099-4e26-9c62-be28c112e9fd</t>
        </is>
      </c>
      <c r="B853" s="4" t="inlineStr">
        <is>
          <t>Will Briley</t>
        </is>
      </c>
      <c r="C853" s="6" t="inlineStr">
        <is>
          <t>wpbriley@gmail.com</t>
        </is>
      </c>
      <c r="D853" s="21" t="n">
        <v>0.8021</v>
      </c>
      <c r="E853" s="22" t="n">
        <v>13.4688</v>
      </c>
      <c r="F853" s="23" t="n">
        <v>3</v>
      </c>
      <c r="G853" s="24">
        <f>D853*H853</f>
        <v>120.31500000000001</v>
      </c>
      <c r="H853" s="25" t="n">
        <v>150</v>
      </c>
    </row>
    <row r="854">
      <c r="A854" s="20" t="inlineStr">
        <is>
          <t>4acee2d6-cb96-4436-86ba-3ef9823353de</t>
        </is>
      </c>
      <c r="B854" s="4" t="inlineStr">
        <is>
          <t>Will Briley</t>
        </is>
      </c>
      <c r="C854" s="6" t="inlineStr">
        <is>
          <t>wpbriley@gmail.com</t>
        </is>
      </c>
      <c r="D854" s="21" t="n">
        <v>0.9097</v>
      </c>
      <c r="E854" s="22" t="n">
        <v>17.8987</v>
      </c>
      <c r="F854" s="23" t="n">
        <v>4</v>
      </c>
      <c r="G854" s="24">
        <f>D854*H854</f>
        <v>136.45499999999998</v>
      </c>
      <c r="H854" s="25" t="n">
        <v>150</v>
      </c>
    </row>
    <row r="855">
      <c r="A855" s="20" t="inlineStr">
        <is>
          <t>7f08d38a-5db4-42ff-a6e9-07e1e9426486</t>
        </is>
      </c>
      <c r="B855" s="4" t="inlineStr">
        <is>
          <t>Will Briley</t>
        </is>
      </c>
      <c r="C855" s="6" t="inlineStr">
        <is>
          <t>wpbriley@gmail.com</t>
        </is>
      </c>
      <c r="D855" s="21" t="n">
        <v>0.9768</v>
      </c>
      <c r="E855" s="22" t="n">
        <v>11.1123</v>
      </c>
      <c r="F855" s="23" t="n">
        <v>1</v>
      </c>
      <c r="G855" s="24">
        <f>D855*H855</f>
        <v>146.52</v>
      </c>
      <c r="H855" s="25" t="n">
        <v>150</v>
      </c>
    </row>
    <row r="856">
      <c r="A856" s="20" t="inlineStr">
        <is>
          <t>ae5ac2bd-fa9a-45a8-993d-c0bd1ea6a82e</t>
        </is>
      </c>
      <c r="B856" s="4" t="inlineStr">
        <is>
          <t>Will Briley</t>
        </is>
      </c>
      <c r="C856" s="6" t="inlineStr">
        <is>
          <t>wpbriley@gmail.com</t>
        </is>
      </c>
      <c r="D856" s="21" t="n">
        <v>1.0273</v>
      </c>
      <c r="E856" s="22" t="n">
        <v>25.5927</v>
      </c>
      <c r="F856" s="23" t="n">
        <v>4</v>
      </c>
      <c r="G856" s="24">
        <f>D856*H856</f>
        <v>154.09500000000003</v>
      </c>
      <c r="H856" s="25" t="n">
        <v>150</v>
      </c>
    </row>
    <row r="857">
      <c r="A857" s="20" t="inlineStr">
        <is>
          <t>966913a7-2ccc-4002-8296-35923b6322ca</t>
        </is>
      </c>
      <c r="B857" s="4" t="inlineStr">
        <is>
          <t>Will Briley</t>
        </is>
      </c>
      <c r="C857" s="6" t="inlineStr">
        <is>
          <t>wpbriley@gmail.com</t>
        </is>
      </c>
      <c r="D857" s="21" t="n">
        <v>1.1167</v>
      </c>
      <c r="E857" s="22" t="n">
        <v>52.8104</v>
      </c>
      <c r="F857" s="23" t="n">
        <v>7</v>
      </c>
      <c r="G857" s="24">
        <f>D857*H857</f>
        <v>167.505</v>
      </c>
      <c r="H857" s="25" t="n">
        <v>150</v>
      </c>
    </row>
    <row r="858">
      <c r="A858" s="20" t="inlineStr">
        <is>
          <t>4e7c49bf-e872-4bf9-9155-889c7ed18198</t>
        </is>
      </c>
      <c r="B858" s="4" t="inlineStr">
        <is>
          <t>Will Briley</t>
        </is>
      </c>
      <c r="C858" s="6" t="inlineStr">
        <is>
          <t>wpbriley@gmail.com</t>
        </is>
      </c>
      <c r="D858" s="21" t="n">
        <v>1.7337</v>
      </c>
      <c r="E858" s="22" t="n">
        <v>17.2246</v>
      </c>
      <c r="F858" s="23" t="n">
        <v>3</v>
      </c>
      <c r="G858" s="24">
        <f>D858*H858</f>
        <v>260.055</v>
      </c>
      <c r="H858" s="25" t="n">
        <v>150</v>
      </c>
    </row>
    <row r="859">
      <c r="A859" s="20" t="inlineStr">
        <is>
          <t>eb53a911-ca01-43ce-98ca-dfa41a4358da</t>
        </is>
      </c>
      <c r="B859" s="4" t="inlineStr">
        <is>
          <t>Will Briley</t>
        </is>
      </c>
      <c r="C859" s="6" t="inlineStr">
        <is>
          <t>wpbriley@gmail.com</t>
        </is>
      </c>
      <c r="D859" s="21" t="n">
        <v>1.9631</v>
      </c>
      <c r="E859" s="22" t="n">
        <v>9.377000000000001</v>
      </c>
      <c r="F859" s="23" t="n">
        <v>3</v>
      </c>
      <c r="G859" s="24">
        <f>D859*H859</f>
        <v>294.46500000000003</v>
      </c>
      <c r="H859" s="25" t="n">
        <v>150</v>
      </c>
    </row>
    <row r="860">
      <c r="A860" s="20" t="inlineStr">
        <is>
          <t>289a014d-d312-4bc2-98bd-899c19149803</t>
        </is>
      </c>
      <c r="B860" s="4" t="inlineStr">
        <is>
          <t>Will Briley</t>
        </is>
      </c>
      <c r="C860" s="6" t="inlineStr">
        <is>
          <t>wpbriley@gmail.com</t>
        </is>
      </c>
      <c r="D860" s="21" t="n">
        <v>2.2325</v>
      </c>
      <c r="E860" s="22" t="n">
        <v>41.9871</v>
      </c>
      <c r="F860" s="23" t="n">
        <v>6</v>
      </c>
      <c r="G860" s="24">
        <f>D860*H860</f>
        <v>334.875</v>
      </c>
      <c r="H860" s="25" t="n">
        <v>150</v>
      </c>
    </row>
    <row r="861">
      <c r="A861" s="20" t="inlineStr">
        <is>
          <t>4bf07a05-445f-45d5-aa6f-1632c792e065</t>
        </is>
      </c>
      <c r="B861" s="4" t="inlineStr">
        <is>
          <t>Will Briley</t>
        </is>
      </c>
      <c r="C861" s="6" t="inlineStr">
        <is>
          <t>wpbriley@gmail.com</t>
        </is>
      </c>
      <c r="D861" s="21" t="n">
        <v>2.3301</v>
      </c>
      <c r="E861" s="22" t="n">
        <v>16.1371</v>
      </c>
      <c r="F861" s="23" t="n">
        <v>3</v>
      </c>
      <c r="G861" s="24">
        <f>D861*H861</f>
        <v>349.515</v>
      </c>
      <c r="H861" s="25" t="n">
        <v>150</v>
      </c>
    </row>
    <row r="862">
      <c r="A862" s="20" t="inlineStr">
        <is>
          <t>99468165-29a3-4d55-9c87-d253b8e6048d</t>
        </is>
      </c>
      <c r="B862" s="4" t="inlineStr">
        <is>
          <t>Will Briley</t>
        </is>
      </c>
      <c r="C862" s="6" t="inlineStr">
        <is>
          <t>wpbriley@gmail.com</t>
        </is>
      </c>
      <c r="D862" s="21" t="n">
        <v>2.4023</v>
      </c>
      <c r="E862" s="22" t="n">
        <v>31.6535</v>
      </c>
      <c r="F862" s="23" t="n">
        <v>6</v>
      </c>
      <c r="G862" s="24">
        <f>D862*H862</f>
        <v>360.34499999999997</v>
      </c>
      <c r="H862" s="25" t="n">
        <v>150</v>
      </c>
    </row>
    <row r="863">
      <c r="A863" s="20" t="inlineStr">
        <is>
          <t>fc945b65-ee68-4843-85b3-76c211b2720b</t>
        </is>
      </c>
      <c r="B863" s="4" t="inlineStr">
        <is>
          <t>Paul Dykes</t>
        </is>
      </c>
      <c r="C863" s="6" t="inlineStr">
        <is>
          <t>paul@insanityventures.com</t>
        </is>
      </c>
      <c r="D863" s="21" t="n">
        <v>0.7114</v>
      </c>
      <c r="E863" s="22" t="n">
        <v>12</v>
      </c>
      <c r="F863" s="23" t="n">
        <v>1</v>
      </c>
      <c r="G863" s="24">
        <f>D863*H863</f>
        <v>106.71000000000001</v>
      </c>
      <c r="H863" s="25" t="n">
        <v>150</v>
      </c>
    </row>
    <row r="864">
      <c r="A864" s="20" t="inlineStr">
        <is>
          <t>8c2f94c3-38a7-4fe4-9ffa-5606873d651c</t>
        </is>
      </c>
      <c r="B864" s="4" t="inlineStr">
        <is>
          <t>Paul Dykes</t>
        </is>
      </c>
      <c r="C864" s="6" t="inlineStr">
        <is>
          <t>paul@insanityventures.com</t>
        </is>
      </c>
      <c r="D864" s="21" t="n">
        <v>1.3705</v>
      </c>
      <c r="E864" s="22" t="n">
        <v>24</v>
      </c>
      <c r="F864" s="23" t="n">
        <v>2</v>
      </c>
      <c r="G864" s="24">
        <f>D864*H864</f>
        <v>205.57500000000002</v>
      </c>
      <c r="H864" s="25" t="n">
        <v>150</v>
      </c>
    </row>
    <row r="865">
      <c r="A865" s="20" t="inlineStr">
        <is>
          <t>ed3663f4-9d24-42f1-ae83-26b09104abad</t>
        </is>
      </c>
      <c r="B865" s="4" t="inlineStr">
        <is>
          <t>Mikel Pardo</t>
        </is>
      </c>
      <c r="C865" s="6" t="inlineStr">
        <is>
          <t>pardomikel11@gmail.com</t>
        </is>
      </c>
      <c r="D865" s="21" t="n">
        <v>0.3638</v>
      </c>
      <c r="E865" s="22" t="n">
        <v>7.3454</v>
      </c>
      <c r="F865" s="23" t="n">
        <v>1</v>
      </c>
      <c r="G865" s="24">
        <f>D865*H865</f>
        <v>54.57</v>
      </c>
      <c r="H865" s="25" t="n">
        <v>150</v>
      </c>
    </row>
    <row r="866">
      <c r="A866" s="20" t="inlineStr">
        <is>
          <t>b1ddafeb-a5a8-422c-827c-e3ac70bfd376</t>
        </is>
      </c>
      <c r="B866" s="4" t="inlineStr">
        <is>
          <t>Mikel Pardo</t>
        </is>
      </c>
      <c r="C866" s="6" t="inlineStr">
        <is>
          <t>pardomikel11@gmail.com</t>
        </is>
      </c>
      <c r="D866" s="21" t="n">
        <v>0.5229</v>
      </c>
      <c r="E866" s="22" t="n">
        <v>13.0008</v>
      </c>
      <c r="F866" s="23" t="n">
        <v>2</v>
      </c>
      <c r="G866" s="24">
        <f>D866*H866</f>
        <v>78.435</v>
      </c>
      <c r="H866" s="25" t="n">
        <v>150</v>
      </c>
    </row>
    <row r="867">
      <c r="A867" s="20" t="inlineStr">
        <is>
          <t>c5cea5a9-7b9e-4d0c-901b-7920552de713</t>
        </is>
      </c>
      <c r="B867" s="4" t="inlineStr">
        <is>
          <t>Mikel Pardo</t>
        </is>
      </c>
      <c r="C867" s="6" t="inlineStr">
        <is>
          <t>pardomikel11@gmail.com</t>
        </is>
      </c>
      <c r="D867" s="21" t="n">
        <v>1.7052</v>
      </c>
      <c r="E867" s="22" t="n">
        <v>26.164</v>
      </c>
      <c r="F867" s="23" t="n">
        <v>3</v>
      </c>
      <c r="G867" s="24">
        <f>D867*H867</f>
        <v>255.78</v>
      </c>
      <c r="H867" s="25" t="n">
        <v>150</v>
      </c>
    </row>
    <row r="868">
      <c r="A868" s="20" t="inlineStr">
        <is>
          <t>d2e8bc99-0d6b-4847-b009-25675ec14e81</t>
        </is>
      </c>
      <c r="B868" s="4" t="inlineStr">
        <is>
          <t>Mikel Pardo</t>
        </is>
      </c>
      <c r="C868" s="6" t="inlineStr">
        <is>
          <t>pardomikel11@gmail.com</t>
        </is>
      </c>
      <c r="D868" s="21" t="n">
        <v>2.2636</v>
      </c>
      <c r="E868" s="22" t="n">
        <v>47.7812</v>
      </c>
      <c r="F868" s="23" t="n">
        <v>7</v>
      </c>
      <c r="G868" s="24">
        <f>D868*H868</f>
        <v>339.53999999999996</v>
      </c>
      <c r="H868" s="25" t="n">
        <v>150</v>
      </c>
    </row>
    <row r="869">
      <c r="A869" s="20" t="inlineStr">
        <is>
          <t>9437fa60-86ff-45c7-ad11-f3a44135d319</t>
        </is>
      </c>
      <c r="B869" s="4" t="inlineStr">
        <is>
          <t>Nadine Maglia</t>
        </is>
      </c>
      <c r="C869" s="6" t="inlineStr">
        <is>
          <t>nadine.maglia@gmail.com</t>
        </is>
      </c>
      <c r="D869" s="21" t="n">
        <v>1.0294</v>
      </c>
      <c r="E869" s="22" t="n">
        <v>2.8593</v>
      </c>
      <c r="F869" s="23" t="n">
        <v>3</v>
      </c>
      <c r="G869" s="24">
        <f>D869*H869</f>
        <v>180.145</v>
      </c>
      <c r="H869" s="25" t="n">
        <v>175</v>
      </c>
    </row>
    <row r="870">
      <c r="A870" s="20" t="inlineStr">
        <is>
          <t>265c1196-9fae-4f06-9299-bd3651841745</t>
        </is>
      </c>
      <c r="B870" s="4" t="inlineStr">
        <is>
          <t>Nadine Maglia</t>
        </is>
      </c>
      <c r="C870" s="6" t="inlineStr">
        <is>
          <t>nadine.maglia@gmail.com</t>
        </is>
      </c>
      <c r="D870" s="21" t="n">
        <v>1.2257</v>
      </c>
      <c r="E870" s="22" t="n">
        <v>13.0245</v>
      </c>
      <c r="F870" s="23" t="n">
        <v>2</v>
      </c>
      <c r="G870" s="24">
        <f>D870*H870</f>
        <v>214.4975</v>
      </c>
      <c r="H870" s="25" t="n">
        <v>175</v>
      </c>
    </row>
    <row r="871">
      <c r="A871" s="20" t="inlineStr">
        <is>
          <t>4c8f3197-7c1e-4c96-acfc-0f44fe2828c6</t>
        </is>
      </c>
      <c r="B871" s="4" t="inlineStr">
        <is>
          <t>Saiyid Kazmi</t>
        </is>
      </c>
      <c r="C871" s="6" t="inlineStr">
        <is>
          <t>saiyidmkazmi@gmail.com</t>
        </is>
      </c>
      <c r="D871" s="21" t="n">
        <v>1.3024</v>
      </c>
      <c r="E871" s="22" t="n">
        <v>20.3024</v>
      </c>
      <c r="F871" s="23" t="n">
        <v>2</v>
      </c>
      <c r="G871" s="24">
        <f>D871*H871</f>
        <v>195.36</v>
      </c>
      <c r="H871" s="25" t="n">
        <v>150</v>
      </c>
    </row>
    <row r="872">
      <c r="A872" s="20" t="inlineStr">
        <is>
          <t>8169d301-b831-460d-b4f4-e3e0d0027f53</t>
        </is>
      </c>
      <c r="B872" s="4" t="inlineStr">
        <is>
          <t>Diogo Pires</t>
        </is>
      </c>
      <c r="C872" s="6" t="inlineStr">
        <is>
          <t>diogogoncalvespires7@gmail.com</t>
        </is>
      </c>
      <c r="D872" s="21" t="n">
        <v>0.3985</v>
      </c>
      <c r="E872" s="22" t="n">
        <v>27.9655</v>
      </c>
      <c r="F872" s="23" t="n">
        <v>3</v>
      </c>
      <c r="G872" s="24">
        <f>D872*H872</f>
        <v>69.7375</v>
      </c>
      <c r="H872" s="25" t="n">
        <v>175</v>
      </c>
    </row>
    <row r="873">
      <c r="A873" s="20" t="inlineStr">
        <is>
          <t>9f2cab9e-f562-4bef-a739-63b372fdd395</t>
        </is>
      </c>
      <c r="B873" s="4" t="inlineStr">
        <is>
          <t>Diogo Pires</t>
        </is>
      </c>
      <c r="C873" s="6" t="inlineStr">
        <is>
          <t>diogogoncalvespires7@gmail.com</t>
        </is>
      </c>
      <c r="D873" s="21" t="n">
        <v>1.3211</v>
      </c>
      <c r="E873" s="22" t="n">
        <v>47.7733</v>
      </c>
      <c r="F873" s="23" t="n">
        <v>5</v>
      </c>
      <c r="G873" s="24">
        <f>D873*H873</f>
        <v>231.1925</v>
      </c>
      <c r="H873" s="25" t="n">
        <v>175</v>
      </c>
    </row>
    <row r="874">
      <c r="A874" s="20" t="inlineStr">
        <is>
          <t>e4c835f8-f121-4b67-b018-99a73157c2ff</t>
        </is>
      </c>
      <c r="B874" s="4" t="inlineStr">
        <is>
          <t>Diogo Pires</t>
        </is>
      </c>
      <c r="C874" s="6" t="inlineStr">
        <is>
          <t>diogogoncalvespires7@gmail.com</t>
        </is>
      </c>
      <c r="D874" s="21" t="n">
        <v>1.4827</v>
      </c>
      <c r="E874" s="22" t="n">
        <v>30.6282</v>
      </c>
      <c r="F874" s="23" t="n">
        <v>6</v>
      </c>
      <c r="G874" s="24">
        <f>D874*H874</f>
        <v>259.47249999999997</v>
      </c>
      <c r="H874" s="25" t="n">
        <v>175</v>
      </c>
    </row>
    <row r="875">
      <c r="A875" s="20" t="inlineStr">
        <is>
          <t>598b1f65-c161-4bee-9bb4-27365c787bfe</t>
        </is>
      </c>
      <c r="B875" s="4" t="inlineStr">
        <is>
          <t>Jared Minor</t>
        </is>
      </c>
      <c r="C875" s="6" t="inlineStr">
        <is>
          <t>jared.minor@vistrafinance.com</t>
        </is>
      </c>
      <c r="D875" s="21" t="n">
        <v>0.5558</v>
      </c>
      <c r="E875" s="22" t="n">
        <v>4.9296</v>
      </c>
      <c r="F875" s="23" t="n">
        <v>1</v>
      </c>
      <c r="G875" s="24">
        <f>D875*H875</f>
        <v>111.16</v>
      </c>
      <c r="H875" s="25" t="n">
        <v>200</v>
      </c>
    </row>
    <row r="876">
      <c r="A876" s="20" t="inlineStr">
        <is>
          <t>9bf6f3d9-2686-4196-b1ed-e47a9f1d9411</t>
        </is>
      </c>
      <c r="B876" s="4" t="inlineStr">
        <is>
          <t>Jared Minor</t>
        </is>
      </c>
      <c r="C876" s="6" t="inlineStr">
        <is>
          <t>jared.minor@vistrafinance.com</t>
        </is>
      </c>
      <c r="D876" s="21" t="n">
        <v>0.6539</v>
      </c>
      <c r="E876" s="22" t="n">
        <v>5.8004</v>
      </c>
      <c r="F876" s="23" t="n">
        <v>1</v>
      </c>
      <c r="G876" s="24">
        <f>D876*H876</f>
        <v>130.78</v>
      </c>
      <c r="H876" s="25" t="n">
        <v>200</v>
      </c>
    </row>
    <row r="877">
      <c r="A877" s="20" t="inlineStr">
        <is>
          <t>b66df4fe-fe56-483b-88da-2b64a8b00e37</t>
        </is>
      </c>
      <c r="B877" s="4" t="inlineStr">
        <is>
          <t>Jared Minor</t>
        </is>
      </c>
      <c r="C877" s="6" t="inlineStr">
        <is>
          <t>jared.minor@vistrafinance.com</t>
        </is>
      </c>
      <c r="D877" s="21" t="n">
        <v>0.728</v>
      </c>
      <c r="E877" s="22" t="n">
        <v>30.4463</v>
      </c>
      <c r="F877" s="23" t="n">
        <v>5</v>
      </c>
      <c r="G877" s="24">
        <f>D877*H877</f>
        <v>145.6</v>
      </c>
      <c r="H877" s="25" t="n">
        <v>200</v>
      </c>
    </row>
    <row r="878">
      <c r="A878" s="20" t="inlineStr">
        <is>
          <t>f2bbdc33-d9ee-4370-b74a-fe2ad7c49955</t>
        </is>
      </c>
      <c r="B878" s="4" t="inlineStr">
        <is>
          <t>Jared Minor</t>
        </is>
      </c>
      <c r="C878" s="6" t="inlineStr">
        <is>
          <t>jared.minor@vistrafinance.com</t>
        </is>
      </c>
      <c r="D878" s="21" t="n">
        <v>1.0433</v>
      </c>
      <c r="E878" s="22" t="n">
        <v>19.0585</v>
      </c>
      <c r="F878" s="23" t="n">
        <v>4</v>
      </c>
      <c r="G878" s="24">
        <f>D878*H878</f>
        <v>208.65999999999997</v>
      </c>
      <c r="H878" s="25" t="n">
        <v>200</v>
      </c>
    </row>
    <row r="879">
      <c r="A879" s="20" t="inlineStr">
        <is>
          <t>b883b5e4-ce8d-472e-95cd-e045883fafaf</t>
        </is>
      </c>
      <c r="B879" s="4" t="inlineStr">
        <is>
          <t>Jared Minor</t>
        </is>
      </c>
      <c r="C879" s="6" t="inlineStr">
        <is>
          <t>jared.minor@vistrafinance.com</t>
        </is>
      </c>
      <c r="D879" s="21" t="n">
        <v>1.1053</v>
      </c>
      <c r="E879" s="22" t="n">
        <v>13.5447</v>
      </c>
      <c r="F879" s="23" t="n">
        <v>3</v>
      </c>
      <c r="G879" s="24">
        <f>D879*H879</f>
        <v>221.06</v>
      </c>
      <c r="H879" s="25" t="n">
        <v>200</v>
      </c>
    </row>
    <row r="880">
      <c r="A880" s="20" t="inlineStr">
        <is>
          <t>5972ae37-e855-4a09-bc40-1bae1422021c</t>
        </is>
      </c>
      <c r="B880" s="4" t="inlineStr">
        <is>
          <t>Jared Minor</t>
        </is>
      </c>
      <c r="C880" s="6" t="inlineStr">
        <is>
          <t>jared.minor@vistrafinance.com</t>
        </is>
      </c>
      <c r="D880" s="21" t="n">
        <v>1.1298</v>
      </c>
      <c r="E880" s="22" t="n">
        <v>21.6666</v>
      </c>
      <c r="F880" s="23" t="n">
        <v>4</v>
      </c>
      <c r="G880" s="24">
        <f>D880*H880</f>
        <v>225.95999999999998</v>
      </c>
      <c r="H880" s="25" t="n">
        <v>200</v>
      </c>
    </row>
    <row r="881">
      <c r="A881" s="20" t="inlineStr">
        <is>
          <t>ea607414-c119-444b-a26c-0182cbce21cf</t>
        </is>
      </c>
      <c r="B881" s="4" t="inlineStr">
        <is>
          <t>Jared Minor</t>
        </is>
      </c>
      <c r="C881" s="6" t="inlineStr">
        <is>
          <t>jared.minor@vistrafinance.com</t>
        </is>
      </c>
      <c r="D881" s="21" t="n">
        <v>1.3965</v>
      </c>
      <c r="E881" s="22" t="n">
        <v>14.559</v>
      </c>
      <c r="F881" s="23" t="n">
        <v>4</v>
      </c>
      <c r="G881" s="24">
        <f>D881*H881</f>
        <v>279.3</v>
      </c>
      <c r="H881" s="25" t="n">
        <v>200</v>
      </c>
    </row>
    <row r="882">
      <c r="A882" s="20" t="inlineStr">
        <is>
          <t>2dbb8601-668f-44fc-9594-e0e056f6bbe1</t>
        </is>
      </c>
      <c r="B882" s="4" t="inlineStr">
        <is>
          <t>Jared Minor</t>
        </is>
      </c>
      <c r="C882" s="6" t="inlineStr">
        <is>
          <t>jared.minor@vistrafinance.com</t>
        </is>
      </c>
      <c r="D882" s="21" t="n">
        <v>1.4307</v>
      </c>
      <c r="E882" s="22" t="n">
        <v>13.0228</v>
      </c>
      <c r="F882" s="23" t="n">
        <v>2</v>
      </c>
      <c r="G882" s="24">
        <f>D882*H882</f>
        <v>286.14000000000004</v>
      </c>
      <c r="H882" s="25" t="n">
        <v>200</v>
      </c>
    </row>
    <row r="883">
      <c r="A883" s="20" t="inlineStr">
        <is>
          <t>935ead0b-4264-488f-9133-0c100ca90f91</t>
        </is>
      </c>
      <c r="B883" s="4" t="inlineStr">
        <is>
          <t>Jared Minor</t>
        </is>
      </c>
      <c r="C883" s="6" t="inlineStr">
        <is>
          <t>jared.minor@vistrafinance.com</t>
        </is>
      </c>
      <c r="D883" s="21" t="n">
        <v>1.5046</v>
      </c>
      <c r="E883" s="22" t="n">
        <v>17.5451</v>
      </c>
      <c r="F883" s="23" t="n">
        <v>3</v>
      </c>
      <c r="G883" s="24">
        <f>D883*H883</f>
        <v>300.91999999999996</v>
      </c>
      <c r="H883" s="25" t="n">
        <v>200</v>
      </c>
    </row>
    <row r="884">
      <c r="A884" s="20" t="inlineStr">
        <is>
          <t>c6023c6c-a5a3-4744-a7ea-33f755561672</t>
        </is>
      </c>
      <c r="B884" s="4" t="inlineStr">
        <is>
          <t>Jared Minor</t>
        </is>
      </c>
      <c r="C884" s="6" t="inlineStr">
        <is>
          <t>jared.minor@vistrafinance.com</t>
        </is>
      </c>
      <c r="D884" s="21" t="n">
        <v>1.551</v>
      </c>
      <c r="E884" s="22" t="n">
        <v>18.8818</v>
      </c>
      <c r="F884" s="23" t="n">
        <v>5</v>
      </c>
      <c r="G884" s="24">
        <f>D884*H884</f>
        <v>310.2</v>
      </c>
      <c r="H884" s="25" t="n">
        <v>200</v>
      </c>
    </row>
    <row r="885">
      <c r="A885" s="20" t="inlineStr">
        <is>
          <t>1a0d96c6-ae55-44b6-a775-493f9c399926</t>
        </is>
      </c>
      <c r="B885" s="4" t="inlineStr">
        <is>
          <t>Jared Minor</t>
        </is>
      </c>
      <c r="C885" s="6" t="inlineStr">
        <is>
          <t>jared.minor@vistrafinance.com</t>
        </is>
      </c>
      <c r="D885" s="21" t="n">
        <v>1.6341</v>
      </c>
      <c r="E885" s="22" t="n">
        <v>16.8312</v>
      </c>
      <c r="F885" s="23" t="n">
        <v>6</v>
      </c>
      <c r="G885" s="24">
        <f>D885*H885</f>
        <v>326.82000000000005</v>
      </c>
      <c r="H885" s="25" t="n">
        <v>200</v>
      </c>
    </row>
    <row r="886">
      <c r="A886" s="20" t="inlineStr">
        <is>
          <t>db83ff0b-5724-42fe-9862-50ce154136dd</t>
        </is>
      </c>
      <c r="B886" s="4" t="inlineStr">
        <is>
          <t>Jared Minor</t>
        </is>
      </c>
      <c r="C886" s="6" t="inlineStr">
        <is>
          <t>jared.minor@vistrafinance.com</t>
        </is>
      </c>
      <c r="D886" s="21" t="n">
        <v>2.1177</v>
      </c>
      <c r="E886" s="22" t="n">
        <v>18.4666</v>
      </c>
      <c r="F886" s="23" t="n">
        <v>5</v>
      </c>
      <c r="G886" s="24">
        <f>D886*H886</f>
        <v>423.54</v>
      </c>
      <c r="H886" s="25" t="n">
        <v>200</v>
      </c>
    </row>
    <row r="887">
      <c r="A887" s="20" t="inlineStr">
        <is>
          <t>074d8313-fa97-4334-b33b-ccec822d4097</t>
        </is>
      </c>
      <c r="B887" s="4" t="inlineStr">
        <is>
          <t>Jared Minor</t>
        </is>
      </c>
      <c r="C887" s="6" t="inlineStr">
        <is>
          <t>jared.minor@vistrafinance.com</t>
        </is>
      </c>
      <c r="D887" s="21" t="n">
        <v>4.9848</v>
      </c>
      <c r="E887" s="22" t="n">
        <v>36.844</v>
      </c>
      <c r="F887" s="23" t="n">
        <v>4</v>
      </c>
      <c r="G887" s="24">
        <f>D887*H887</f>
        <v>996.96</v>
      </c>
      <c r="H887" s="25" t="n">
        <v>200</v>
      </c>
    </row>
    <row r="888">
      <c r="A888" s="20" t="inlineStr">
        <is>
          <t>6b1c45db-9cfe-4d0b-92d1-b6db0591e23d</t>
        </is>
      </c>
      <c r="B888" s="4" t="inlineStr">
        <is>
          <t>Jack Colyar</t>
        </is>
      </c>
      <c r="C888" s="6" t="inlineStr">
        <is>
          <t>jackcolyar@gmail.com</t>
        </is>
      </c>
      <c r="D888" s="21" t="n">
        <v>0.4642</v>
      </c>
      <c r="E888" s="22" t="n">
        <v>0.4642</v>
      </c>
      <c r="F888" s="23" t="n">
        <v>1</v>
      </c>
      <c r="G888" s="24">
        <f>D888*H888</f>
        <v>69.63</v>
      </c>
      <c r="H888" s="25" t="n">
        <v>150</v>
      </c>
    </row>
    <row r="889">
      <c r="A889" s="20" t="inlineStr">
        <is>
          <t>c9b85f34-fd9e-4ee0-bf8c-9e4f255bc728</t>
        </is>
      </c>
      <c r="B889" s="4" t="inlineStr">
        <is>
          <t>Jack Colyar</t>
        </is>
      </c>
      <c r="C889" s="6" t="inlineStr">
        <is>
          <t>jackcolyar@gmail.com</t>
        </is>
      </c>
      <c r="D889" s="21" t="n">
        <v>0.7509</v>
      </c>
      <c r="E889" s="22" t="n">
        <v>17.0064</v>
      </c>
      <c r="F889" s="23" t="n">
        <v>2</v>
      </c>
      <c r="G889" s="24">
        <f>D889*H889</f>
        <v>112.635</v>
      </c>
      <c r="H889" s="25" t="n">
        <v>150</v>
      </c>
    </row>
    <row r="890">
      <c r="A890" s="20" t="inlineStr">
        <is>
          <t>3c5fb0d7-adb7-4c21-9f43-5d127b0a7ee4</t>
        </is>
      </c>
      <c r="B890" s="4" t="inlineStr">
        <is>
          <t>Jack Colyar</t>
        </is>
      </c>
      <c r="C890" s="6" t="inlineStr">
        <is>
          <t>jackcolyar@gmail.com</t>
        </is>
      </c>
      <c r="D890" s="21" t="n">
        <v>2.3761</v>
      </c>
      <c r="E890" s="22" t="n">
        <v>25.1204</v>
      </c>
      <c r="F890" s="23" t="n">
        <v>4</v>
      </c>
      <c r="G890" s="24">
        <f>D890*H890</f>
        <v>356.415</v>
      </c>
      <c r="H890" s="25" t="n">
        <v>150</v>
      </c>
    </row>
    <row r="891">
      <c r="A891" s="20" t="inlineStr">
        <is>
          <t>36cee1a4-3223-4807-b8ed-576d93f1834a</t>
        </is>
      </c>
      <c r="B891" s="4" t="inlineStr">
        <is>
          <t>Jack Colyar</t>
        </is>
      </c>
      <c r="C891" s="6" t="inlineStr">
        <is>
          <t>jackcolyar@gmail.com</t>
        </is>
      </c>
      <c r="D891" s="21" t="n">
        <v>4.2433</v>
      </c>
      <c r="E891" s="22" t="n">
        <v>41.5877</v>
      </c>
      <c r="F891" s="23" t="n">
        <v>7</v>
      </c>
      <c r="G891" s="24">
        <f>D891*H891</f>
        <v>636.4949999999999</v>
      </c>
      <c r="H891" s="25" t="n">
        <v>150</v>
      </c>
    </row>
    <row r="892">
      <c r="A892" s="20" t="inlineStr">
        <is>
          <t>a7c950b7-0eec-4193-a9a6-d62bf940dcd1</t>
        </is>
      </c>
      <c r="B892" s="4" t="inlineStr">
        <is>
          <t>Jonathan Smith</t>
        </is>
      </c>
      <c r="C892" s="6" t="inlineStr">
        <is>
          <t>jonathandsmithcv@gmail.com</t>
        </is>
      </c>
      <c r="D892" s="21" t="n">
        <v>0.9596</v>
      </c>
      <c r="E892" s="22" t="n">
        <v>15.5764</v>
      </c>
      <c r="F892" s="23" t="n">
        <v>2</v>
      </c>
      <c r="G892" s="24">
        <f>D892*H892</f>
        <v>143.94</v>
      </c>
      <c r="H892" s="25" t="n">
        <v>150</v>
      </c>
    </row>
    <row r="893">
      <c r="A893" s="20" t="inlineStr">
        <is>
          <t>3d5485f5-85cb-411c-afec-e99f635f89c9</t>
        </is>
      </c>
      <c r="B893" s="4" t="inlineStr">
        <is>
          <t>Jonathan Smith</t>
        </is>
      </c>
      <c r="C893" s="6" t="inlineStr">
        <is>
          <t>jonathandsmithcv@gmail.com</t>
        </is>
      </c>
      <c r="D893" s="21" t="n">
        <v>2.23</v>
      </c>
      <c r="E893" s="22" t="n">
        <v>29.0954</v>
      </c>
      <c r="F893" s="23" t="n">
        <v>3</v>
      </c>
      <c r="G893" s="24">
        <f>D893*H893</f>
        <v>334.5</v>
      </c>
      <c r="H893" s="25" t="n">
        <v>150</v>
      </c>
    </row>
    <row r="894">
      <c r="A894" s="20" t="inlineStr">
        <is>
          <t>1a0d87bb-69e1-42fa-ba0d-00b371182d75</t>
        </is>
      </c>
      <c r="B894" s="4" t="inlineStr">
        <is>
          <t>Albert Park</t>
        </is>
      </c>
      <c r="C894" s="6" t="inlineStr">
        <is>
          <t>albert.park90@gmail.com</t>
        </is>
      </c>
      <c r="D894" s="21" t="n">
        <v>3.5112</v>
      </c>
      <c r="E894" s="22" t="n">
        <v>33.6365</v>
      </c>
      <c r="F894" s="23" t="n">
        <v>4</v>
      </c>
      <c r="G894" s="24">
        <f>D894*H894</f>
        <v>526.6800000000001</v>
      </c>
      <c r="H894" s="25" t="n">
        <v>150</v>
      </c>
    </row>
    <row r="895">
      <c r="A895" s="20" t="inlineStr">
        <is>
          <t>730415f0-3079-4ef0-b12f-04fbf80bba23</t>
        </is>
      </c>
      <c r="B895" s="4" t="inlineStr">
        <is>
          <t>Shreyas Rajkumar</t>
        </is>
      </c>
      <c r="C895" s="6" t="inlineStr">
        <is>
          <t>rajkumarshreyas@gmail.com</t>
        </is>
      </c>
      <c r="D895" s="21" t="n">
        <v>0.2696</v>
      </c>
      <c r="E895" s="22" t="n">
        <v>12</v>
      </c>
      <c r="F895" s="23" t="n">
        <v>1</v>
      </c>
      <c r="G895" s="24">
        <f>D895*H895</f>
        <v>40.44</v>
      </c>
      <c r="H895" s="25" t="n">
        <v>150</v>
      </c>
    </row>
    <row r="896">
      <c r="A896" s="20" t="inlineStr">
        <is>
          <t>7b5dbe89-792f-4acb-ba0b-d2a9dce57ee7</t>
        </is>
      </c>
      <c r="B896" s="4" t="inlineStr">
        <is>
          <t>Shreyas Rajkumar</t>
        </is>
      </c>
      <c r="C896" s="6" t="inlineStr">
        <is>
          <t>rajkumarshreyas@gmail.com</t>
        </is>
      </c>
      <c r="D896" s="21" t="n">
        <v>0.4019</v>
      </c>
      <c r="E896" s="22" t="n">
        <v>12</v>
      </c>
      <c r="F896" s="23" t="n">
        <v>1</v>
      </c>
      <c r="G896" s="24">
        <f>D896*H896</f>
        <v>60.285</v>
      </c>
      <c r="H896" s="25" t="n">
        <v>150</v>
      </c>
    </row>
    <row r="897">
      <c r="A897" s="20" t="inlineStr">
        <is>
          <t>092a60c1-bc4c-407a-9f68-bdbe99c3bf80</t>
        </is>
      </c>
      <c r="B897" s="4" t="inlineStr">
        <is>
          <t>Shreyas Rajkumar</t>
        </is>
      </c>
      <c r="C897" s="6" t="inlineStr">
        <is>
          <t>rajkumarshreyas@gmail.com</t>
        </is>
      </c>
      <c r="D897" s="21" t="n">
        <v>6.864</v>
      </c>
      <c r="E897" s="22" t="n">
        <v>63.0985</v>
      </c>
      <c r="F897" s="23" t="n">
        <v>7</v>
      </c>
      <c r="G897" s="24">
        <f>D897*H897</f>
        <v>1029.6</v>
      </c>
      <c r="H897" s="25" t="n">
        <v>150</v>
      </c>
    </row>
    <row r="898">
      <c r="A898" s="20" t="inlineStr">
        <is>
          <t>902bb8f5-263d-47e2-b8f0-d3e155fa088f</t>
        </is>
      </c>
      <c r="B898" s="4" t="inlineStr">
        <is>
          <t>Shreyas Rajkumar</t>
        </is>
      </c>
      <c r="C898" s="6" t="inlineStr">
        <is>
          <t>rajkumarshreyas@gmail.com</t>
        </is>
      </c>
      <c r="D898" s="21" t="n">
        <v>11.9101</v>
      </c>
      <c r="E898" s="22" t="n">
        <v>84</v>
      </c>
      <c r="F898" s="23" t="n">
        <v>7</v>
      </c>
      <c r="G898" s="24">
        <f>D898*H898</f>
        <v>1786.5149999999999</v>
      </c>
      <c r="H898" s="25" t="n">
        <v>150</v>
      </c>
    </row>
    <row r="899">
      <c r="A899" s="20" t="inlineStr">
        <is>
          <t>7c4d0f01-f42d-45be-9484-5ea0e353489a</t>
        </is>
      </c>
      <c r="B899" s="4" t="inlineStr">
        <is>
          <t>Daurys gonell</t>
        </is>
      </c>
      <c r="C899" s="6" t="inlineStr">
        <is>
          <t>dau.gonell@gmail.com</t>
        </is>
      </c>
      <c r="D899" s="21" t="n">
        <v>4.0423</v>
      </c>
      <c r="E899" s="22" t="n">
        <v>4.5089</v>
      </c>
      <c r="F899" s="23" t="n">
        <v>1</v>
      </c>
      <c r="G899" s="24">
        <f>D899*H899</f>
        <v>606.345</v>
      </c>
      <c r="H899" s="25" t="n">
        <v>150</v>
      </c>
    </row>
    <row r="900">
      <c r="A900" s="20" t="inlineStr">
        <is>
          <t>f4561b41-d846-4742-8a69-7983ff21a534</t>
        </is>
      </c>
      <c r="B900" s="4" t="inlineStr">
        <is>
          <t>Kevin Cao</t>
        </is>
      </c>
      <c r="C900" s="6" t="inlineStr">
        <is>
          <t>caoykevin@gmail.com</t>
        </is>
      </c>
      <c r="D900" s="21" t="n">
        <v>2.077</v>
      </c>
      <c r="E900" s="22" t="n">
        <v>19.1226</v>
      </c>
      <c r="F900" s="23" t="n">
        <v>2</v>
      </c>
      <c r="G900" s="24">
        <f>D900*H900</f>
        <v>311.55</v>
      </c>
      <c r="H900" s="25" t="n">
        <v>150</v>
      </c>
    </row>
    <row r="901">
      <c r="A901" s="20" t="inlineStr">
        <is>
          <t>db05a13f-96df-49ca-a5a4-62406cf19ad7</t>
        </is>
      </c>
      <c r="B901" s="4" t="inlineStr">
        <is>
          <t>Kevin Cao</t>
        </is>
      </c>
      <c r="C901" s="6" t="inlineStr">
        <is>
          <t>caoykevin@gmail.com</t>
        </is>
      </c>
      <c r="D901" s="21" t="n">
        <v>4.5848</v>
      </c>
      <c r="E901" s="22" t="n">
        <v>18.6034</v>
      </c>
      <c r="F901" s="23" t="n">
        <v>3</v>
      </c>
      <c r="G901" s="24">
        <f>D901*H901</f>
        <v>687.72</v>
      </c>
      <c r="H901" s="25" t="n">
        <v>150</v>
      </c>
    </row>
    <row r="902">
      <c r="A902" s="20" t="inlineStr">
        <is>
          <t>82325161-26f5-49ff-a68d-40eba4333da7</t>
        </is>
      </c>
      <c r="B902" s="4" t="inlineStr">
        <is>
          <t>Kevin Cao</t>
        </is>
      </c>
      <c r="C902" s="6" t="inlineStr">
        <is>
          <t>caoykevin@gmail.com</t>
        </is>
      </c>
      <c r="D902" s="21" t="n">
        <v>6.3754</v>
      </c>
      <c r="E902" s="22" t="n">
        <v>48</v>
      </c>
      <c r="F902" s="23" t="n">
        <v>4</v>
      </c>
      <c r="G902" s="24">
        <f>D902*H902</f>
        <v>956.31</v>
      </c>
      <c r="H902" s="25" t="n">
        <v>150</v>
      </c>
    </row>
    <row r="903">
      <c r="A903" s="20" t="inlineStr">
        <is>
          <t>e64b26fc-c112-4fa2-bb2e-f6508003fecc</t>
        </is>
      </c>
      <c r="B903" s="4" t="inlineStr">
        <is>
          <t>Winston Curteza</t>
        </is>
      </c>
      <c r="C903" s="6" t="inlineStr">
        <is>
          <t>wdc62@cornell.edu</t>
        </is>
      </c>
      <c r="D903" s="21" t="n">
        <v>8.6106</v>
      </c>
      <c r="E903" s="22" t="n">
        <v>68.8506</v>
      </c>
      <c r="F903" s="23" t="n">
        <v>6</v>
      </c>
      <c r="G903" s="24">
        <f>D903*H903</f>
        <v>1291.59</v>
      </c>
      <c r="H903" s="25" t="n">
        <v>150</v>
      </c>
    </row>
    <row r="905">
      <c r="A905" s="11" t="inlineStr">
        <is>
          <t>Blue = payable time measured against this task: clocked, approved minutes that fall inside one of this person's claim windows on it, summed across every time they held it, including across redo rounds. Grey = the raw claim window for reference, which is possession and includes idle time. 21 tasks show zero payable minutes: work done while the claim had lapsed, or paid before payable time was being recorded.</t>
        </is>
      </c>
    </row>
  </sheetData>
  <mergeCells count="1">
    <mergeCell ref="A905:H90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G7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27" customWidth="1" min="2" max="2"/>
    <col width="32" customWidth="1" min="3" max="3"/>
    <col width="10" customWidth="1" min="4" max="4"/>
    <col width="9" customWidth="1" min="5" max="5"/>
    <col width="10" customWidth="1" min="6" max="6"/>
    <col width="11" customWidth="1" min="7" max="7"/>
  </cols>
  <sheetData>
    <row r="2">
      <c r="A2" s="10" t="inlineStr">
        <is>
          <t>AHT by contributor — fastest to slowest</t>
        </is>
      </c>
    </row>
    <row r="3">
      <c r="A3" s="23" t="inlineStr">
        <is>
          <t>Prompt-only taskers, sheets, August 2026. Every statistic is a live formula over the Per-task detail tab.</t>
        </is>
      </c>
    </row>
    <row r="5" ht="30" customHeight="1">
      <c r="A5" s="12" t="inlineStr">
        <is>
          <t>#</t>
        </is>
      </c>
      <c r="B5" s="12" t="inlineStr">
        <is>
          <t>Contributor</t>
        </is>
      </c>
      <c r="C5" s="13" t="inlineStr">
        <is>
          <t>Email</t>
        </is>
      </c>
      <c r="D5" s="13" t="inlineStr">
        <is>
          <t>AHT (h)</t>
        </is>
      </c>
      <c r="E5" s="13" t="inlineStr">
        <is>
          <t>Tasks</t>
        </is>
      </c>
      <c r="F5" s="13" t="inlineStr">
        <is>
          <t>Hours</t>
        </is>
      </c>
      <c r="G5" s="13" t="inlineStr">
        <is>
          <t>$/task</t>
        </is>
      </c>
    </row>
    <row r="6">
      <c r="A6" s="23" t="n">
        <v>1</v>
      </c>
      <c r="B6" s="4" t="inlineStr">
        <is>
          <t>Travis Crevasse</t>
        </is>
      </c>
      <c r="C6" s="6" t="inlineStr">
        <is>
          <t>travis.crevasse@gmail.com</t>
        </is>
      </c>
      <c r="D6" s="26">
        <f>MEDIAN('Per-task detail'!$D$2:$D$2)</f>
        <v>0.1392</v>
      </c>
      <c r="E6" s="27">
        <f>COUNT('Per-task detail'!$D$2:$D$2)</f>
        <v>1</v>
      </c>
      <c r="F6" s="28" t="n">
        <v>5</v>
      </c>
      <c r="G6" s="29">
        <f>D6*'Per-task detail'!$H$2</f>
        <v>20.88</v>
      </c>
    </row>
    <row r="7">
      <c r="A7" s="30" t="n">
        <v>2</v>
      </c>
      <c r="B7" s="31" t="inlineStr">
        <is>
          <t>Charles Mack</t>
        </is>
      </c>
      <c r="C7" s="32" t="inlineStr">
        <is>
          <t>charliemack427@gmail.com</t>
        </is>
      </c>
      <c r="D7" s="33">
        <f>MEDIAN('Per-task detail'!$D$3:$D$29)</f>
        <v>0.2227</v>
      </c>
      <c r="E7" s="34">
        <f>COUNT('Per-task detail'!$D$3:$D$29)</f>
        <v>27</v>
      </c>
      <c r="F7" s="35" t="n">
        <v>55.66</v>
      </c>
      <c r="G7" s="36">
        <f>D7*'Per-task detail'!$H$3</f>
        <v>33.405</v>
      </c>
    </row>
    <row r="8">
      <c r="A8" s="30" t="n">
        <v>3</v>
      </c>
      <c r="B8" s="31" t="inlineStr">
        <is>
          <t>Melvan Hoo Jun Hong</t>
        </is>
      </c>
      <c r="C8" s="32" t="inlineStr">
        <is>
          <t>melvanhjh@gmail.com</t>
        </is>
      </c>
      <c r="D8" s="33">
        <f>MEDIAN('Per-task detail'!$D$30:$D$71)</f>
        <v>0.24045</v>
      </c>
      <c r="E8" s="34">
        <f>COUNT('Per-task detail'!$D$30:$D$71)</f>
        <v>42</v>
      </c>
      <c r="F8" s="35" t="n">
        <v>71.87</v>
      </c>
      <c r="G8" s="36">
        <f>D8*'Per-task detail'!$H$30</f>
        <v>48.089999999999996</v>
      </c>
    </row>
    <row r="9">
      <c r="A9" s="23" t="n">
        <v>4</v>
      </c>
      <c r="B9" s="4" t="inlineStr">
        <is>
          <t>Alema Louis</t>
        </is>
      </c>
      <c r="C9" s="6" t="inlineStr">
        <is>
          <t>alemalouis4@gmail.com</t>
        </is>
      </c>
      <c r="D9" s="26">
        <f>MEDIAN('Per-task detail'!$D$72:$D$73)</f>
        <v>0.26575000000000004</v>
      </c>
      <c r="E9" s="27">
        <f>COUNT('Per-task detail'!$D$72:$D$73)</f>
        <v>2</v>
      </c>
      <c r="F9" s="28" t="n">
        <v>8.02</v>
      </c>
      <c r="G9" s="29">
        <f>D9*'Per-task detail'!$H$72</f>
        <v>39.862500000000004</v>
      </c>
    </row>
    <row r="10">
      <c r="A10" s="30" t="n">
        <v>5</v>
      </c>
      <c r="B10" s="31" t="inlineStr">
        <is>
          <t>Ran Meshulam</t>
        </is>
      </c>
      <c r="C10" s="32" t="inlineStr">
        <is>
          <t>ranchuk4@gmail.com</t>
        </is>
      </c>
      <c r="D10" s="33">
        <f>MEDIAN('Per-task detail'!$D$74:$D$104)</f>
        <v>0.3036</v>
      </c>
      <c r="E10" s="34">
        <f>COUNT('Per-task detail'!$D$74:$D$104)</f>
        <v>31</v>
      </c>
      <c r="F10" s="35" t="n">
        <v>76.17</v>
      </c>
      <c r="G10" s="36">
        <f>D10*'Per-task detail'!$H$74</f>
        <v>45.54</v>
      </c>
    </row>
    <row r="11">
      <c r="A11" s="30" t="n">
        <v>6</v>
      </c>
      <c r="B11" s="31" t="inlineStr">
        <is>
          <t>Andy Deng</t>
        </is>
      </c>
      <c r="C11" s="32" t="inlineStr">
        <is>
          <t>ajhdeng@gmail.com</t>
        </is>
      </c>
      <c r="D11" s="33">
        <f>MEDIAN('Per-task detail'!$D$105:$D$114)</f>
        <v>0.35209999999999997</v>
      </c>
      <c r="E11" s="34">
        <f>COUNT('Per-task detail'!$D$105:$D$114)</f>
        <v>10</v>
      </c>
      <c r="F11" s="35" t="n">
        <v>9.140000000000001</v>
      </c>
      <c r="G11" s="36">
        <f>D11*'Per-task detail'!$H$105</f>
        <v>52.815</v>
      </c>
    </row>
    <row r="12">
      <c r="A12" s="30" t="n">
        <v>7</v>
      </c>
      <c r="B12" s="31" t="inlineStr">
        <is>
          <t>Alex Moon</t>
        </is>
      </c>
      <c r="C12" s="32" t="inlineStr">
        <is>
          <t>alexmoon1212@gmail.com</t>
        </is>
      </c>
      <c r="D12" s="33">
        <f>MEDIAN('Per-task detail'!$D$115:$D$149)</f>
        <v>0.3712</v>
      </c>
      <c r="E12" s="34">
        <f>COUNT('Per-task detail'!$D$115:$D$149)</f>
        <v>35</v>
      </c>
      <c r="F12" s="35" t="n">
        <v>101.02</v>
      </c>
      <c r="G12" s="36">
        <f>D12*'Per-task detail'!$H$115</f>
        <v>55.67999999999999</v>
      </c>
    </row>
    <row r="13">
      <c r="A13" s="30" t="n">
        <v>8</v>
      </c>
      <c r="B13" s="31" t="inlineStr">
        <is>
          <t>Pravit Kochar</t>
        </is>
      </c>
      <c r="C13" s="32" t="inlineStr">
        <is>
          <t>pravitkochar@uchicago.edu</t>
        </is>
      </c>
      <c r="D13" s="33">
        <f>MEDIAN('Per-task detail'!$D$150:$D$165)</f>
        <v>0.3774</v>
      </c>
      <c r="E13" s="34">
        <f>COUNT('Per-task detail'!$D$150:$D$165)</f>
        <v>16</v>
      </c>
      <c r="F13" s="35" t="n">
        <v>26.75</v>
      </c>
      <c r="G13" s="36">
        <f>D13*'Per-task detail'!$H$150</f>
        <v>56.61</v>
      </c>
    </row>
    <row r="14">
      <c r="A14" s="30" t="n">
        <v>9</v>
      </c>
      <c r="B14" s="31" t="inlineStr">
        <is>
          <t>Ethan Ohana</t>
        </is>
      </c>
      <c r="C14" s="32" t="inlineStr">
        <is>
          <t>ethan.ohana214@gmail.com</t>
        </is>
      </c>
      <c r="D14" s="33">
        <f>MEDIAN('Per-task detail'!$D$166:$D$199)</f>
        <v>0.3823</v>
      </c>
      <c r="E14" s="34">
        <f>COUNT('Per-task detail'!$D$166:$D$199)</f>
        <v>34</v>
      </c>
      <c r="F14" s="35" t="n">
        <v>49.9</v>
      </c>
      <c r="G14" s="36">
        <f>D14*'Per-task detail'!$H$166</f>
        <v>57.345</v>
      </c>
    </row>
    <row r="15">
      <c r="A15" s="23" t="n">
        <v>10</v>
      </c>
      <c r="B15" s="4" t="inlineStr">
        <is>
          <t>Hinda Diakite</t>
        </is>
      </c>
      <c r="C15" s="6" t="inlineStr">
        <is>
          <t>diakite.hinda@gmail.com</t>
        </is>
      </c>
      <c r="D15" s="26">
        <f>MEDIAN('Per-task detail'!$D$200:$D$207)</f>
        <v>0.38885000000000003</v>
      </c>
      <c r="E15" s="27">
        <f>COUNT('Per-task detail'!$D$200:$D$207)</f>
        <v>8</v>
      </c>
      <c r="F15" s="28" t="n">
        <v>18.53</v>
      </c>
      <c r="G15" s="29">
        <f>D15*'Per-task detail'!$H$200</f>
        <v>58.32750000000001</v>
      </c>
    </row>
    <row r="16">
      <c r="A16" s="30" t="n">
        <v>11</v>
      </c>
      <c r="B16" s="31" t="inlineStr">
        <is>
          <t>Sutton Zhang</t>
        </is>
      </c>
      <c r="C16" s="32" t="inlineStr">
        <is>
          <t>suttonzhang@hotmail.com</t>
        </is>
      </c>
      <c r="D16" s="33">
        <f>MEDIAN('Per-task detail'!$D$208:$D$302)</f>
        <v>0.4432</v>
      </c>
      <c r="E16" s="34">
        <f>COUNT('Per-task detail'!$D$208:$D$302)</f>
        <v>95</v>
      </c>
      <c r="F16" s="35" t="n">
        <v>88.14</v>
      </c>
      <c r="G16" s="36">
        <f>D16*'Per-task detail'!$H$208</f>
        <v>66.48</v>
      </c>
    </row>
    <row r="17">
      <c r="A17" s="30" t="n">
        <v>12</v>
      </c>
      <c r="B17" s="31" t="inlineStr">
        <is>
          <t>Frank Collier</t>
        </is>
      </c>
      <c r="C17" s="32" t="inlineStr">
        <is>
          <t>frankcollier2018@gmail.com</t>
        </is>
      </c>
      <c r="D17" s="33">
        <f>MEDIAN('Per-task detail'!$D$303:$D$360)</f>
        <v>0.4682</v>
      </c>
      <c r="E17" s="34">
        <f>COUNT('Per-task detail'!$D$303:$D$360)</f>
        <v>58</v>
      </c>
      <c r="F17" s="35" t="n">
        <v>84.31</v>
      </c>
      <c r="G17" s="36">
        <f>D17*'Per-task detail'!$H$303</f>
        <v>70.23</v>
      </c>
    </row>
    <row r="18">
      <c r="A18" s="30" t="n">
        <v>13</v>
      </c>
      <c r="B18" s="31" t="inlineStr">
        <is>
          <t>Spencer Dumas</t>
        </is>
      </c>
      <c r="C18" s="32" t="inlineStr">
        <is>
          <t>skdumas03@gmail.com</t>
        </is>
      </c>
      <c r="D18" s="33">
        <f>MEDIAN('Per-task detail'!$D$361:$D$386)</f>
        <v>0.47124999999999995</v>
      </c>
      <c r="E18" s="34">
        <f>COUNT('Per-task detail'!$D$361:$D$386)</f>
        <v>26</v>
      </c>
      <c r="F18" s="35" t="n">
        <v>20.76</v>
      </c>
      <c r="G18" s="36">
        <f>D18*'Per-task detail'!$H$361</f>
        <v>70.68749999999999</v>
      </c>
    </row>
    <row r="19">
      <c r="A19" s="23" t="n">
        <v>14</v>
      </c>
      <c r="B19" s="4" t="inlineStr">
        <is>
          <t>Marc Levy</t>
        </is>
      </c>
      <c r="C19" s="6" t="inlineStr">
        <is>
          <t>marclevyp@gmail.com</t>
        </is>
      </c>
      <c r="D19" s="26">
        <f>MEDIAN('Per-task detail'!$D$387:$D$394)</f>
        <v>0.47505</v>
      </c>
      <c r="E19" s="27">
        <f>COUNT('Per-task detail'!$D$387:$D$394)</f>
        <v>8</v>
      </c>
      <c r="F19" s="28" t="n">
        <v>13.52</v>
      </c>
      <c r="G19" s="29">
        <f>D19*'Per-task detail'!$H$387</f>
        <v>71.2575</v>
      </c>
    </row>
    <row r="20">
      <c r="A20" s="30" t="n">
        <v>15</v>
      </c>
      <c r="B20" s="31" t="inlineStr">
        <is>
          <t>Elliot Saye</t>
        </is>
      </c>
      <c r="C20" s="32" t="inlineStr">
        <is>
          <t>esaye@umich.edu</t>
        </is>
      </c>
      <c r="D20" s="33">
        <f>MEDIAN('Per-task detail'!$D$395:$D$471)</f>
        <v>0.4911</v>
      </c>
      <c r="E20" s="34">
        <f>COUNT('Per-task detail'!$D$395:$D$471)</f>
        <v>77</v>
      </c>
      <c r="F20" s="35" t="n">
        <v>100.1</v>
      </c>
      <c r="G20" s="36">
        <f>D20*'Per-task detail'!$H$395</f>
        <v>98.22</v>
      </c>
    </row>
    <row r="21">
      <c r="A21" s="30" t="n">
        <v>16</v>
      </c>
      <c r="B21" s="31" t="inlineStr">
        <is>
          <t>Alex Fey</t>
        </is>
      </c>
      <c r="C21" s="32" t="inlineStr">
        <is>
          <t>alexdf06@gmail.com</t>
        </is>
      </c>
      <c r="D21" s="33">
        <f>MEDIAN('Per-task detail'!$D$472:$D$501)</f>
        <v>0.5086</v>
      </c>
      <c r="E21" s="34">
        <f>COUNT('Per-task detail'!$D$472:$D$501)</f>
        <v>30</v>
      </c>
      <c r="F21" s="35" t="n">
        <v>46.92</v>
      </c>
      <c r="G21" s="36">
        <f>D21*'Per-task detail'!$H$472</f>
        <v>101.72000000000001</v>
      </c>
    </row>
    <row r="22">
      <c r="A22" s="30" t="n">
        <v>17</v>
      </c>
      <c r="B22" s="31" t="inlineStr">
        <is>
          <t>Johnny Tran</t>
        </is>
      </c>
      <c r="C22" s="32" t="inlineStr">
        <is>
          <t>jtran1123@gmail.com</t>
        </is>
      </c>
      <c r="D22" s="33">
        <f>MEDIAN('Per-task detail'!$D$502:$D$518)</f>
        <v>0.5492</v>
      </c>
      <c r="E22" s="34">
        <f>COUNT('Per-task detail'!$D$502:$D$518)</f>
        <v>17</v>
      </c>
      <c r="F22" s="35" t="n">
        <v>66.64</v>
      </c>
      <c r="G22" s="36">
        <f>D22*'Per-task detail'!$H$502</f>
        <v>82.38000000000001</v>
      </c>
    </row>
    <row r="23">
      <c r="A23" s="30" t="n">
        <v>18</v>
      </c>
      <c r="B23" s="31" t="inlineStr">
        <is>
          <t>David Hua</t>
        </is>
      </c>
      <c r="C23" s="32" t="inlineStr">
        <is>
          <t>davidhua25@gmail.com</t>
        </is>
      </c>
      <c r="D23" s="33">
        <f>MEDIAN('Per-task detail'!$D$519:$D$560)</f>
        <v>0.5647500000000001</v>
      </c>
      <c r="E23" s="34">
        <f>COUNT('Per-task detail'!$D$519:$D$560)</f>
        <v>42</v>
      </c>
      <c r="F23" s="35" t="n">
        <v>40.18</v>
      </c>
      <c r="G23" s="36">
        <f>D23*'Per-task detail'!$H$519</f>
        <v>112.95000000000002</v>
      </c>
    </row>
    <row r="24">
      <c r="A24" s="30" t="n">
        <v>19</v>
      </c>
      <c r="B24" s="31" t="inlineStr">
        <is>
          <t>Siddhant Kumbhat</t>
        </is>
      </c>
      <c r="C24" s="32" t="inlineStr">
        <is>
          <t>sidkumbhat92@gmail.com</t>
        </is>
      </c>
      <c r="D24" s="33">
        <f>MEDIAN('Per-task detail'!$D$561:$D$604)</f>
        <v>0.5749500000000001</v>
      </c>
      <c r="E24" s="34">
        <f>COUNT('Per-task detail'!$D$561:$D$604)</f>
        <v>44</v>
      </c>
      <c r="F24" s="35" t="n">
        <v>72.26000000000001</v>
      </c>
      <c r="G24" s="36">
        <f>D24*'Per-task detail'!$H$561</f>
        <v>86.2425</v>
      </c>
    </row>
    <row r="25">
      <c r="A25" s="30" t="n">
        <v>20</v>
      </c>
      <c r="B25" s="31" t="inlineStr">
        <is>
          <t>Artus Granier</t>
        </is>
      </c>
      <c r="C25" s="32" t="inlineStr">
        <is>
          <t>artus.granier@live.fr</t>
        </is>
      </c>
      <c r="D25" s="33">
        <f>MEDIAN('Per-task detail'!$D$605:$D$630)</f>
        <v>0.58925</v>
      </c>
      <c r="E25" s="34">
        <f>COUNT('Per-task detail'!$D$605:$D$630)</f>
        <v>26</v>
      </c>
      <c r="F25" s="35" t="n">
        <v>38.19</v>
      </c>
      <c r="G25" s="36">
        <f>D25*'Per-task detail'!$H$605</f>
        <v>88.3875</v>
      </c>
    </row>
    <row r="26">
      <c r="A26" s="23" t="n">
        <v>21</v>
      </c>
      <c r="B26" s="4" t="inlineStr">
        <is>
          <t>Ariya Savla</t>
        </is>
      </c>
      <c r="C26" s="6" t="inlineStr">
        <is>
          <t>ariya.savla@gmail.com</t>
        </is>
      </c>
      <c r="D26" s="26">
        <f>MEDIAN('Per-task detail'!$D$631:$D$639)</f>
        <v>0.6042</v>
      </c>
      <c r="E26" s="27">
        <f>COUNT('Per-task detail'!$D$631:$D$639)</f>
        <v>9</v>
      </c>
      <c r="F26" s="28" t="n">
        <v>13.15</v>
      </c>
      <c r="G26" s="29">
        <f>D26*'Per-task detail'!$H$631</f>
        <v>90.63</v>
      </c>
    </row>
    <row r="27">
      <c r="A27" s="30" t="n">
        <v>22</v>
      </c>
      <c r="B27" s="31" t="inlineStr">
        <is>
          <t>John Wang</t>
        </is>
      </c>
      <c r="C27" s="32" t="inlineStr">
        <is>
          <t>johnlwang7@gmail.com</t>
        </is>
      </c>
      <c r="D27" s="33">
        <f>MEDIAN('Per-task detail'!$D$640:$D$707)</f>
        <v>0.6351500000000001</v>
      </c>
      <c r="E27" s="34">
        <f>COUNT('Per-task detail'!$D$640:$D$707)</f>
        <v>68</v>
      </c>
      <c r="F27" s="35" t="n">
        <v>110.14</v>
      </c>
      <c r="G27" s="36">
        <f>D27*'Per-task detail'!$H$640</f>
        <v>111.15125000000002</v>
      </c>
    </row>
    <row r="28">
      <c r="A28" s="23" t="n">
        <v>23</v>
      </c>
      <c r="B28" s="4" t="inlineStr">
        <is>
          <t>Mitchell Kimball</t>
        </is>
      </c>
      <c r="C28" s="6" t="inlineStr">
        <is>
          <t>kimball.mitch@gmail.com</t>
        </is>
      </c>
      <c r="D28" s="26">
        <f>MEDIAN('Per-task detail'!$D$708:$D$708)</f>
        <v>0.6796</v>
      </c>
      <c r="E28" s="27">
        <f>COUNT('Per-task detail'!$D$708:$D$708)</f>
        <v>1</v>
      </c>
      <c r="F28" s="28" t="n">
        <v>2.94</v>
      </c>
      <c r="G28" s="29">
        <f>D28*'Per-task detail'!$H$708</f>
        <v>118.92999999999999</v>
      </c>
    </row>
    <row r="29">
      <c r="A29" s="23" t="n">
        <v>24</v>
      </c>
      <c r="B29" s="4" t="inlineStr">
        <is>
          <t>Caroline Rawe</t>
        </is>
      </c>
      <c r="C29" s="6" t="inlineStr">
        <is>
          <t>cmrawe@gmail.com</t>
        </is>
      </c>
      <c r="D29" s="26">
        <f>MEDIAN('Per-task detail'!$D$709:$D$711)</f>
        <v>0.6977</v>
      </c>
      <c r="E29" s="27">
        <f>COUNT('Per-task detail'!$D$709:$D$711)</f>
        <v>3</v>
      </c>
      <c r="F29" s="28" t="n">
        <v>3.22</v>
      </c>
      <c r="G29" s="29">
        <f>D29*'Per-task detail'!$H$709</f>
        <v>104.655</v>
      </c>
    </row>
    <row r="30">
      <c r="A30" s="30" t="n">
        <v>25</v>
      </c>
      <c r="B30" s="31" t="inlineStr">
        <is>
          <t>Liam Tuohy</t>
        </is>
      </c>
      <c r="C30" s="32" t="inlineStr">
        <is>
          <t>liamtuohy22@gmail.com</t>
        </is>
      </c>
      <c r="D30" s="33">
        <f>MEDIAN('Per-task detail'!$D$712:$D$736)</f>
        <v>0.7041</v>
      </c>
      <c r="E30" s="34">
        <f>COUNT('Per-task detail'!$D$712:$D$736)</f>
        <v>25</v>
      </c>
      <c r="F30" s="35" t="n">
        <v>41.55</v>
      </c>
      <c r="G30" s="36">
        <f>D30*'Per-task detail'!$H$712</f>
        <v>105.615</v>
      </c>
    </row>
    <row r="31">
      <c r="A31" s="30" t="n">
        <v>26</v>
      </c>
      <c r="B31" s="31" t="inlineStr">
        <is>
          <t>Joy Tokosi</t>
        </is>
      </c>
      <c r="C31" s="32" t="inlineStr">
        <is>
          <t>joyyomitokosi@gmail.com</t>
        </is>
      </c>
      <c r="D31" s="33">
        <f>MEDIAN('Per-task detail'!$D$737:$D$761)</f>
        <v>0.7127</v>
      </c>
      <c r="E31" s="34">
        <f>COUNT('Per-task detail'!$D$737:$D$761)</f>
        <v>25</v>
      </c>
      <c r="F31" s="35" t="n">
        <v>104.25</v>
      </c>
      <c r="G31" s="36">
        <f>D31*'Per-task detail'!$H$737</f>
        <v>106.905</v>
      </c>
    </row>
    <row r="32">
      <c r="A32" s="30" t="n">
        <v>27</v>
      </c>
      <c r="B32" s="31" t="inlineStr">
        <is>
          <t>Diego Inaki Pardo de Orellana</t>
        </is>
      </c>
      <c r="C32" s="32" t="inlineStr">
        <is>
          <t>diegopardo52300@gmail.com</t>
        </is>
      </c>
      <c r="D32" s="33">
        <f>MEDIAN('Per-task detail'!$D$762:$D$775)</f>
        <v>0.7995</v>
      </c>
      <c r="E32" s="34">
        <f>COUNT('Per-task detail'!$D$762:$D$775)</f>
        <v>14</v>
      </c>
      <c r="F32" s="35" t="n">
        <v>29.34</v>
      </c>
      <c r="G32" s="36">
        <f>D32*'Per-task detail'!$H$762</f>
        <v>139.9125</v>
      </c>
    </row>
    <row r="33">
      <c r="A33" s="30" t="n">
        <v>28</v>
      </c>
      <c r="B33" s="31" t="inlineStr">
        <is>
          <t>Tyler Collingbourne</t>
        </is>
      </c>
      <c r="C33" s="32" t="inlineStr">
        <is>
          <t>tcollingbourne@gmail.com</t>
        </is>
      </c>
      <c r="D33" s="33">
        <f>MEDIAN('Per-task detail'!$D$776:$D$792)</f>
        <v>0.8177</v>
      </c>
      <c r="E33" s="34">
        <f>COUNT('Per-task detail'!$D$776:$D$792)</f>
        <v>17</v>
      </c>
      <c r="F33" s="35" t="n">
        <v>33</v>
      </c>
      <c r="G33" s="36">
        <f>D33*'Per-task detail'!$H$776</f>
        <v>122.655</v>
      </c>
    </row>
    <row r="34">
      <c r="A34" s="23" t="n">
        <v>29</v>
      </c>
      <c r="B34" s="4" t="inlineStr">
        <is>
          <t>Shahwaiz Faisal</t>
        </is>
      </c>
      <c r="C34" s="6" t="inlineStr">
        <is>
          <t>sf554@cornell.edu</t>
        </is>
      </c>
      <c r="D34" s="26">
        <f>MEDIAN('Per-task detail'!$D$793:$D$795)</f>
        <v>0.8196</v>
      </c>
      <c r="E34" s="27">
        <f>COUNT('Per-task detail'!$D$793:$D$795)</f>
        <v>3</v>
      </c>
      <c r="F34" s="28" t="n">
        <v>6.83</v>
      </c>
      <c r="G34" s="29">
        <f>D34*'Per-task detail'!$H$793</f>
        <v>122.94</v>
      </c>
    </row>
    <row r="35">
      <c r="A35" s="23" t="n">
        <v>30</v>
      </c>
      <c r="B35" s="4" t="inlineStr">
        <is>
          <t>Jack Sorensen</t>
        </is>
      </c>
      <c r="C35" s="6" t="inlineStr">
        <is>
          <t>jackfsorensen@gmail.com</t>
        </is>
      </c>
      <c r="D35" s="26">
        <f>MEDIAN('Per-task detail'!$D$796:$D$798)</f>
        <v>0.8285</v>
      </c>
      <c r="E35" s="27">
        <f>COUNT('Per-task detail'!$D$796:$D$798)</f>
        <v>3</v>
      </c>
      <c r="F35" s="28" t="n">
        <v>5.05</v>
      </c>
      <c r="G35" s="29">
        <f>D35*'Per-task detail'!$H$796</f>
        <v>124.275</v>
      </c>
    </row>
    <row r="36">
      <c r="A36" s="30" t="n">
        <v>31</v>
      </c>
      <c r="B36" s="31" t="inlineStr">
        <is>
          <t>Daniel Zalevsky</t>
        </is>
      </c>
      <c r="C36" s="32" t="inlineStr">
        <is>
          <t>danz291517@gmail.com</t>
        </is>
      </c>
      <c r="D36" s="33">
        <f>MEDIAN('Per-task detail'!$D$799:$D$819)</f>
        <v>0.8411</v>
      </c>
      <c r="E36" s="34">
        <f>COUNT('Per-task detail'!$D$799:$D$819)</f>
        <v>21</v>
      </c>
      <c r="F36" s="35" t="n">
        <v>46.06</v>
      </c>
      <c r="G36" s="36">
        <f>D36*'Per-task detail'!$H$799</f>
        <v>126.16499999999999</v>
      </c>
    </row>
    <row r="37">
      <c r="A37" s="23" t="n">
        <v>32</v>
      </c>
      <c r="B37" s="4" t="inlineStr">
        <is>
          <t>Francisco Cerqueira</t>
        </is>
      </c>
      <c r="C37" s="6" t="inlineStr">
        <is>
          <t>cerqueirafda@gmail.com</t>
        </is>
      </c>
      <c r="D37" s="26">
        <f>MEDIAN('Per-task detail'!$D$820:$D$824)</f>
        <v>0.8445</v>
      </c>
      <c r="E37" s="27">
        <f>COUNT('Per-task detail'!$D$820:$D$824)</f>
        <v>5</v>
      </c>
      <c r="F37" s="28" t="n">
        <v>11.33</v>
      </c>
      <c r="G37" s="29">
        <f>D37*'Per-task detail'!$H$820</f>
        <v>147.7875</v>
      </c>
    </row>
    <row r="38">
      <c r="A38" s="30" t="n">
        <v>33</v>
      </c>
      <c r="B38" s="31" t="inlineStr">
        <is>
          <t>Alexander Koblansky</t>
        </is>
      </c>
      <c r="C38" s="32" t="inlineStr">
        <is>
          <t>alexkoblansky@gmail.com</t>
        </is>
      </c>
      <c r="D38" s="33">
        <f>MEDIAN('Per-task detail'!$D$825:$D$847)</f>
        <v>0.8544</v>
      </c>
      <c r="E38" s="34">
        <f>COUNT('Per-task detail'!$D$825:$D$847)</f>
        <v>23</v>
      </c>
      <c r="F38" s="35" t="n">
        <v>47.59</v>
      </c>
      <c r="G38" s="36">
        <f>D38*'Per-task detail'!$H$825</f>
        <v>128.16</v>
      </c>
    </row>
    <row r="39">
      <c r="A39" s="23" t="n">
        <v>34</v>
      </c>
      <c r="B39" s="4" t="inlineStr">
        <is>
          <t>Mia Chamoun</t>
        </is>
      </c>
      <c r="C39" s="6" t="inlineStr">
        <is>
          <t>miachamoun79@gmail.com</t>
        </is>
      </c>
      <c r="D39" s="26">
        <f>MEDIAN('Per-task detail'!$D$848:$D$849)</f>
        <v>1.0069</v>
      </c>
      <c r="E39" s="27">
        <f>COUNT('Per-task detail'!$D$848:$D$849)</f>
        <v>2</v>
      </c>
      <c r="F39" s="28" t="n">
        <v>2.18</v>
      </c>
      <c r="G39" s="29">
        <f>D39*'Per-task detail'!$H$848</f>
        <v>151.035</v>
      </c>
    </row>
    <row r="40">
      <c r="A40" s="30" t="n">
        <v>35</v>
      </c>
      <c r="B40" s="31" t="inlineStr">
        <is>
          <t>Will Briley</t>
        </is>
      </c>
      <c r="C40" s="32" t="inlineStr">
        <is>
          <t>wpbriley@gmail.com</t>
        </is>
      </c>
      <c r="D40" s="33">
        <f>MEDIAN('Per-task detail'!$D$850:$D$862)</f>
        <v>1.0273</v>
      </c>
      <c r="E40" s="34">
        <f>COUNT('Per-task detail'!$D$850:$D$862)</f>
        <v>13</v>
      </c>
      <c r="F40" s="35" t="n">
        <v>24.05</v>
      </c>
      <c r="G40" s="36">
        <f>D40*'Per-task detail'!$H$850</f>
        <v>154.09500000000003</v>
      </c>
    </row>
    <row r="41">
      <c r="A41" s="23" t="n">
        <v>36</v>
      </c>
      <c r="B41" s="4" t="inlineStr">
        <is>
          <t>Paul Dykes</t>
        </is>
      </c>
      <c r="C41" s="6" t="inlineStr">
        <is>
          <t>paul@insanityventures.com</t>
        </is>
      </c>
      <c r="D41" s="26">
        <f>MEDIAN('Per-task detail'!$D$863:$D$864)</f>
        <v>1.04095</v>
      </c>
      <c r="E41" s="27">
        <f>COUNT('Per-task detail'!$D$863:$D$864)</f>
        <v>2</v>
      </c>
      <c r="F41" s="28" t="n">
        <v>2.93</v>
      </c>
      <c r="G41" s="29">
        <f>D41*'Per-task detail'!$H$863</f>
        <v>156.1425</v>
      </c>
    </row>
    <row r="42">
      <c r="A42" s="23" t="n">
        <v>37</v>
      </c>
      <c r="B42" s="4" t="inlineStr">
        <is>
          <t>Mikel Pardo</t>
        </is>
      </c>
      <c r="C42" s="6" t="inlineStr">
        <is>
          <t>pardomikel11@gmail.com</t>
        </is>
      </c>
      <c r="D42" s="26">
        <f>MEDIAN('Per-task detail'!$D$865:$D$868)</f>
        <v>1.11405</v>
      </c>
      <c r="E42" s="27">
        <f>COUNT('Per-task detail'!$D$865:$D$868)</f>
        <v>4</v>
      </c>
      <c r="F42" s="28" t="n">
        <v>25.78</v>
      </c>
      <c r="G42" s="29">
        <f>D42*'Per-task detail'!$H$865</f>
        <v>167.1075</v>
      </c>
    </row>
    <row r="43">
      <c r="A43" s="23" t="n">
        <v>38</v>
      </c>
      <c r="B43" s="4" t="inlineStr">
        <is>
          <t>Nadine Maglia</t>
        </is>
      </c>
      <c r="C43" s="6" t="inlineStr">
        <is>
          <t>nadine.maglia@gmail.com</t>
        </is>
      </c>
      <c r="D43" s="26">
        <f>MEDIAN('Per-task detail'!$D$869:$D$870)</f>
        <v>1.12755</v>
      </c>
      <c r="E43" s="27">
        <f>COUNT('Per-task detail'!$D$869:$D$870)</f>
        <v>2</v>
      </c>
      <c r="F43" s="28" t="n">
        <v>3.16</v>
      </c>
      <c r="G43" s="29">
        <f>D43*'Per-task detail'!$H$869</f>
        <v>197.32125000000002</v>
      </c>
    </row>
    <row r="44">
      <c r="A44" s="23" t="n">
        <v>39</v>
      </c>
      <c r="B44" s="4" t="inlineStr">
        <is>
          <t>Saiyid Kazmi</t>
        </is>
      </c>
      <c r="C44" s="6" t="inlineStr">
        <is>
          <t>saiyidmkazmi@gmail.com</t>
        </is>
      </c>
      <c r="D44" s="26">
        <f>MEDIAN('Per-task detail'!$D$871:$D$871)</f>
        <v>1.3024</v>
      </c>
      <c r="E44" s="27">
        <f>COUNT('Per-task detail'!$D$871:$D$871)</f>
        <v>1</v>
      </c>
      <c r="F44" s="28" t="n">
        <v>4.31</v>
      </c>
      <c r="G44" s="29">
        <f>D44*'Per-task detail'!$H$871</f>
        <v>195.36</v>
      </c>
    </row>
    <row r="45">
      <c r="A45" s="23" t="n">
        <v>40</v>
      </c>
      <c r="B45" s="4" t="inlineStr">
        <is>
          <t>Diogo Pires</t>
        </is>
      </c>
      <c r="C45" s="6" t="inlineStr">
        <is>
          <t>diogogoncalvespires7@gmail.com</t>
        </is>
      </c>
      <c r="D45" s="26">
        <f>MEDIAN('Per-task detail'!$D$872:$D$874)</f>
        <v>1.3211</v>
      </c>
      <c r="E45" s="27">
        <f>COUNT('Per-task detail'!$D$872:$D$874)</f>
        <v>3</v>
      </c>
      <c r="F45" s="28" t="n">
        <v>10.58</v>
      </c>
      <c r="G45" s="29">
        <f>D45*'Per-task detail'!$H$872</f>
        <v>231.1925</v>
      </c>
    </row>
    <row r="46">
      <c r="A46" s="30" t="n">
        <v>41</v>
      </c>
      <c r="B46" s="31" t="inlineStr">
        <is>
          <t>Jared Minor</t>
        </is>
      </c>
      <c r="C46" s="32" t="inlineStr">
        <is>
          <t>jared.minor@vistrafinance.com</t>
        </is>
      </c>
      <c r="D46" s="33">
        <f>MEDIAN('Per-task detail'!$D$875:$D$887)</f>
        <v>1.3965</v>
      </c>
      <c r="E46" s="34">
        <f>COUNT('Per-task detail'!$D$875:$D$887)</f>
        <v>13</v>
      </c>
      <c r="F46" s="35" t="n">
        <v>127.55</v>
      </c>
      <c r="G46" s="36">
        <f>D46*'Per-task detail'!$H$875</f>
        <v>279.3</v>
      </c>
    </row>
    <row r="47">
      <c r="A47" s="23" t="n">
        <v>42</v>
      </c>
      <c r="B47" s="4" t="inlineStr">
        <is>
          <t>Jack Colyar</t>
        </is>
      </c>
      <c r="C47" s="6" t="inlineStr">
        <is>
          <t>jackcolyar@gmail.com</t>
        </is>
      </c>
      <c r="D47" s="26">
        <f>MEDIAN('Per-task detail'!$D$888:$D$891)</f>
        <v>1.5635000000000001</v>
      </c>
      <c r="E47" s="27">
        <f>COUNT('Per-task detail'!$D$888:$D$891)</f>
        <v>4</v>
      </c>
      <c r="F47" s="28" t="n">
        <v>26.32</v>
      </c>
      <c r="G47" s="29">
        <f>D47*'Per-task detail'!$H$888</f>
        <v>234.525</v>
      </c>
    </row>
    <row r="48">
      <c r="A48" s="23" t="n">
        <v>43</v>
      </c>
      <c r="B48" s="4" t="inlineStr">
        <is>
          <t>Jonathan Smith</t>
        </is>
      </c>
      <c r="C48" s="6" t="inlineStr">
        <is>
          <t>jonathandsmithcv@gmail.com</t>
        </is>
      </c>
      <c r="D48" s="26">
        <f>MEDIAN('Per-task detail'!$D$892:$D$893)</f>
        <v>1.5948</v>
      </c>
      <c r="E48" s="27">
        <f>COUNT('Per-task detail'!$D$892:$D$893)</f>
        <v>2</v>
      </c>
      <c r="F48" s="28" t="n">
        <v>8.199999999999999</v>
      </c>
      <c r="G48" s="29">
        <f>D48*'Per-task detail'!$H$892</f>
        <v>239.22</v>
      </c>
    </row>
    <row r="49">
      <c r="A49" s="23" t="n">
        <v>44</v>
      </c>
      <c r="B49" s="4" t="inlineStr">
        <is>
          <t>Albert Park</t>
        </is>
      </c>
      <c r="C49" s="6" t="inlineStr">
        <is>
          <t>albert.park90@gmail.com</t>
        </is>
      </c>
      <c r="D49" s="26">
        <f>MEDIAN('Per-task detail'!$D$894:$D$894)</f>
        <v>3.5112</v>
      </c>
      <c r="E49" s="27">
        <f>COUNT('Per-task detail'!$D$894:$D$894)</f>
        <v>1</v>
      </c>
      <c r="F49" s="28" t="n">
        <v>6.04</v>
      </c>
      <c r="G49" s="29">
        <f>D49*'Per-task detail'!$H$894</f>
        <v>526.6800000000001</v>
      </c>
    </row>
    <row r="50">
      <c r="A50" s="23" t="n">
        <v>45</v>
      </c>
      <c r="B50" s="4" t="inlineStr">
        <is>
          <t>Shreyas Rajkumar</t>
        </is>
      </c>
      <c r="C50" s="6" t="inlineStr">
        <is>
          <t>rajkumarshreyas@gmail.com</t>
        </is>
      </c>
      <c r="D50" s="26">
        <f>MEDIAN('Per-task detail'!$D$895:$D$898)</f>
        <v>3.63295</v>
      </c>
      <c r="E50" s="27">
        <f>COUNT('Per-task detail'!$D$895:$D$898)</f>
        <v>4</v>
      </c>
      <c r="F50" s="28" t="n">
        <v>10.74</v>
      </c>
      <c r="G50" s="29">
        <f>D50*'Per-task detail'!$H$895</f>
        <v>544.9425</v>
      </c>
    </row>
    <row r="51">
      <c r="A51" s="23" t="n">
        <v>46</v>
      </c>
      <c r="B51" s="4" t="inlineStr">
        <is>
          <t>Daurys gonell</t>
        </is>
      </c>
      <c r="C51" s="6" t="inlineStr">
        <is>
          <t>dau.gonell@gmail.com</t>
        </is>
      </c>
      <c r="D51" s="26">
        <f>MEDIAN('Per-task detail'!$D$899:$D$899)</f>
        <v>4.0423</v>
      </c>
      <c r="E51" s="27">
        <f>COUNT('Per-task detail'!$D$899:$D$899)</f>
        <v>1</v>
      </c>
      <c r="F51" s="28" t="n">
        <v>0</v>
      </c>
      <c r="G51" s="29">
        <f>D51*'Per-task detail'!$H$899</f>
        <v>606.345</v>
      </c>
    </row>
    <row r="52">
      <c r="A52" s="23" t="n">
        <v>47</v>
      </c>
      <c r="B52" s="4" t="inlineStr">
        <is>
          <t>Kevin Cao</t>
        </is>
      </c>
      <c r="C52" s="6" t="inlineStr">
        <is>
          <t>caoykevin@gmail.com</t>
        </is>
      </c>
      <c r="D52" s="26">
        <f>MEDIAN('Per-task detail'!$D$900:$D$902)</f>
        <v>4.5848</v>
      </c>
      <c r="E52" s="27">
        <f>COUNT('Per-task detail'!$D$900:$D$902)</f>
        <v>3</v>
      </c>
      <c r="F52" s="28" t="n">
        <v>17.48</v>
      </c>
      <c r="G52" s="29">
        <f>D52*'Per-task detail'!$H$900</f>
        <v>687.72</v>
      </c>
    </row>
    <row r="53">
      <c r="A53" s="23" t="n">
        <v>48</v>
      </c>
      <c r="B53" s="4" t="inlineStr">
        <is>
          <t>Winston Curteza</t>
        </is>
      </c>
      <c r="C53" s="6" t="inlineStr">
        <is>
          <t>wdc62@cornell.edu</t>
        </is>
      </c>
      <c r="D53" s="26">
        <f>MEDIAN('Per-task detail'!$D$903:$D$903)</f>
        <v>8.6106</v>
      </c>
      <c r="E53" s="27">
        <f>COUNT('Per-task detail'!$D$903:$D$903)</f>
        <v>1</v>
      </c>
      <c r="F53" s="28" t="n">
        <v>9.31</v>
      </c>
      <c r="G53" s="29">
        <f>D53*'Per-task detail'!$H$903</f>
        <v>1291.59</v>
      </c>
    </row>
    <row r="54">
      <c r="A54" s="23" t="n">
        <v>49</v>
      </c>
      <c r="B54" s="4" t="inlineStr">
        <is>
          <t>Eshan Tapuria</t>
        </is>
      </c>
      <c r="C54" s="6" t="inlineStr">
        <is>
          <t>eshan.tapuria.uptye@gmail.com</t>
        </is>
      </c>
      <c r="D54" s="37" t="inlineStr">
        <is>
          <t>no task reached audit in August</t>
        </is>
      </c>
      <c r="F54" s="28" t="n">
        <v>1.29</v>
      </c>
      <c r="G54" s="38" t="inlineStr">
        <is>
          <t>—</t>
        </is>
      </c>
    </row>
    <row r="55">
      <c r="A55" s="23" t="n">
        <v>50</v>
      </c>
      <c r="B55" s="4" t="inlineStr">
        <is>
          <t>Jacob Coran</t>
        </is>
      </c>
      <c r="C55" s="6" t="inlineStr">
        <is>
          <t>jacob.a.coran@gmail.com</t>
        </is>
      </c>
      <c r="D55" s="37" t="inlineStr">
        <is>
          <t>no task reached audit in August</t>
        </is>
      </c>
      <c r="F55" s="28" t="n">
        <v>0.45</v>
      </c>
      <c r="G55" s="38" t="inlineStr">
        <is>
          <t>—</t>
        </is>
      </c>
    </row>
    <row r="56">
      <c r="A56" s="23" t="n">
        <v>51</v>
      </c>
      <c r="B56" s="4" t="inlineStr">
        <is>
          <t>Vamshi Eppanapally</t>
        </is>
      </c>
      <c r="C56" s="6" t="inlineStr">
        <is>
          <t>vke@wharton.upenn.edu</t>
        </is>
      </c>
      <c r="D56" s="37" t="inlineStr">
        <is>
          <t>no task reached audit in August</t>
        </is>
      </c>
      <c r="F56" s="28" t="n">
        <v>8.49</v>
      </c>
      <c r="G56" s="38" t="inlineStr">
        <is>
          <t>—</t>
        </is>
      </c>
    </row>
    <row r="57">
      <c r="A57" s="23" t="n">
        <v>52</v>
      </c>
      <c r="B57" s="4" t="inlineStr">
        <is>
          <t>James Hayakawa</t>
        </is>
      </c>
      <c r="C57" s="6" t="inlineStr">
        <is>
          <t>jameshayakawa21@gmail.com</t>
        </is>
      </c>
      <c r="D57" s="37" t="inlineStr">
        <is>
          <t>no task reached audit in August</t>
        </is>
      </c>
      <c r="F57" s="28" t="n">
        <v>3.27</v>
      </c>
      <c r="G57" s="38" t="inlineStr">
        <is>
          <t>—</t>
        </is>
      </c>
    </row>
    <row r="58">
      <c r="A58" s="23" t="n">
        <v>53</v>
      </c>
      <c r="B58" s="4" t="inlineStr">
        <is>
          <t>Luis Rubano</t>
        </is>
      </c>
      <c r="C58" s="6" t="inlineStr">
        <is>
          <t>luissantiagorubano@gmail.com</t>
        </is>
      </c>
      <c r="D58" s="37" t="inlineStr">
        <is>
          <t>no task reached audit in August</t>
        </is>
      </c>
      <c r="F58" s="28" t="n">
        <v>0.97</v>
      </c>
      <c r="G58" s="38" t="inlineStr">
        <is>
          <t>—</t>
        </is>
      </c>
    </row>
    <row r="59">
      <c r="A59" s="23" t="n">
        <v>54</v>
      </c>
      <c r="B59" s="4" t="inlineStr">
        <is>
          <t>Tim Marino</t>
        </is>
      </c>
      <c r="C59" s="6" t="inlineStr">
        <is>
          <t>thmarino27@gmail.com</t>
        </is>
      </c>
      <c r="D59" s="37" t="inlineStr">
        <is>
          <t>no task reached audit in August</t>
        </is>
      </c>
      <c r="F59" s="28" t="n">
        <v>8.16</v>
      </c>
      <c r="G59" s="38" t="inlineStr">
        <is>
          <t>—</t>
        </is>
      </c>
    </row>
    <row r="60">
      <c r="A60" s="23" t="n">
        <v>55</v>
      </c>
      <c r="B60" s="4" t="inlineStr">
        <is>
          <t>Julius Schenk</t>
        </is>
      </c>
      <c r="C60" s="6" t="inlineStr">
        <is>
          <t>julius.schenk@gmx.net</t>
        </is>
      </c>
      <c r="D60" s="37" t="inlineStr">
        <is>
          <t>no task reached audit in August</t>
        </is>
      </c>
      <c r="F60" s="28" t="n">
        <v>0.35</v>
      </c>
      <c r="G60" s="38" t="inlineStr">
        <is>
          <t>—</t>
        </is>
      </c>
    </row>
    <row r="61">
      <c r="A61" s="23" t="n">
        <v>56</v>
      </c>
      <c r="B61" s="4" t="inlineStr">
        <is>
          <t>Troye Bullock</t>
        </is>
      </c>
      <c r="C61" s="6" t="inlineStr">
        <is>
          <t>troyebullockjr@gmail.com</t>
        </is>
      </c>
      <c r="D61" s="37" t="inlineStr">
        <is>
          <t>no task reached audit in August</t>
        </is>
      </c>
      <c r="F61" s="28" t="n">
        <v>4.4</v>
      </c>
      <c r="G61" s="38" t="inlineStr">
        <is>
          <t>—</t>
        </is>
      </c>
    </row>
    <row r="62">
      <c r="A62" s="23" t="n">
        <v>57</v>
      </c>
      <c r="B62" s="4" t="inlineStr">
        <is>
          <t>Davit Hakobyan</t>
        </is>
      </c>
      <c r="C62" s="6" t="inlineStr">
        <is>
          <t>davithakobyan153@gmail.com</t>
        </is>
      </c>
      <c r="D62" s="37" t="inlineStr">
        <is>
          <t>no task reached audit in August</t>
        </is>
      </c>
      <c r="F62" s="28" t="n">
        <v>6.05</v>
      </c>
      <c r="G62" s="38" t="inlineStr">
        <is>
          <t>—</t>
        </is>
      </c>
    </row>
    <row r="63">
      <c r="A63" s="23" t="n">
        <v>58</v>
      </c>
      <c r="B63" s="4" t="inlineStr">
        <is>
          <t>Yvan Nathanael Ngongang</t>
        </is>
      </c>
      <c r="C63" s="6" t="inlineStr">
        <is>
          <t>yvan.ngongang@yahoo.com</t>
        </is>
      </c>
      <c r="D63" s="37" t="inlineStr">
        <is>
          <t>no task reached audit in August</t>
        </is>
      </c>
      <c r="F63" s="28" t="n">
        <v>8.369999999999999</v>
      </c>
      <c r="G63" s="38" t="inlineStr">
        <is>
          <t>—</t>
        </is>
      </c>
    </row>
    <row r="64">
      <c r="A64" s="23" t="n">
        <v>59</v>
      </c>
      <c r="B64" s="4" t="inlineStr">
        <is>
          <t>Jared Curran</t>
        </is>
      </c>
      <c r="C64" s="6" t="inlineStr">
        <is>
          <t>jrad03@gmail.com</t>
        </is>
      </c>
      <c r="D64" s="37" t="inlineStr">
        <is>
          <t>no task reached audit in August</t>
        </is>
      </c>
      <c r="F64" s="28" t="n">
        <v>1.29</v>
      </c>
      <c r="G64" s="38" t="inlineStr">
        <is>
          <t>—</t>
        </is>
      </c>
    </row>
    <row r="65">
      <c r="A65" s="39" t="n"/>
      <c r="B65" s="40" t="inlineStr">
        <is>
          <t>Cohort total / pooled</t>
        </is>
      </c>
      <c r="C65" s="39" t="n"/>
      <c r="D65" s="41">
        <f>MEDIAN('Per-task detail'!$D$2:$D$903)</f>
      </c>
      <c r="E65" s="42">
        <f>SUM(E6:E64)</f>
        <v>902</v>
      </c>
      <c r="F65" s="43">
        <f>SUM(F6:F64)</f>
      </c>
      <c r="G65" s="44">
        <f>D65*Assumptions!$C$10</f>
        <v>84.48750000000001</v>
      </c>
    </row>
    <row r="67">
      <c r="A67" s="11" t="inlineStr">
        <is>
          <t>AHT is that person's MEDIAN payable hours on a task — clocked, approved time that fell inside their claim window on that specific task, across every round including redos. Half their tasks took less, half took more.</t>
        </is>
      </c>
    </row>
    <row r="68">
      <c r="A68" s="11" t="inlineStr">
        <is>
          <t>Tasks is how many reached audit in August with them credited.</t>
        </is>
      </c>
    </row>
    <row r="69">
      <c r="A69" s="11" t="inlineStr">
        <is>
          <t>Hours is everything they booked and were paid for in August, across all their work — so it will not equal AHT x Tasks, and is not meant to. Cohort-wide only 45.3% of paid hours land on tasks that finished in August; see the Assumptions tab.</t>
        </is>
      </c>
    </row>
    <row r="70">
      <c r="A70" s="11" t="inlineStr">
        <is>
          <t>$/task is their AHT at their own contract rate. The cohort row uses the blended rate.</t>
        </is>
      </c>
    </row>
    <row r="71">
      <c r="A71" s="11" t="inlineStr">
        <is>
          <t>Green = live formulas over the Per-task detail tab. Blue = measured payroll figures. Shaded rows have 10 or more tasks and are the only ones worth ranking on. Mean, min, P90 and max per person are in august_aht_contributor_list_full.csv.</t>
        </is>
      </c>
    </row>
    <row r="72">
      <c r="A72" s="11" t="inlineStr">
        <is>
          <t>CAUTION: someone who keeps many tasks claimed at once has each paid minute split between them, so their AHT per task reads low. Melvan Hoo Jun Hong and Andy Deng move from the slow end of the claim-based ranking to the fast end here for exactly that reason. Read AHT next to Hours.</t>
        </is>
      </c>
    </row>
  </sheetData>
  <mergeCells count="17">
    <mergeCell ref="D60:E60"/>
    <mergeCell ref="D55:E55"/>
    <mergeCell ref="A70:G70"/>
    <mergeCell ref="D64:E64"/>
    <mergeCell ref="A67:G67"/>
    <mergeCell ref="D57:E57"/>
    <mergeCell ref="D63:E63"/>
    <mergeCell ref="A69:G69"/>
    <mergeCell ref="D61:E61"/>
    <mergeCell ref="D62:E62"/>
    <mergeCell ref="A72:G72"/>
    <mergeCell ref="D54:E54"/>
    <mergeCell ref="D58:E58"/>
    <mergeCell ref="D56:E56"/>
    <mergeCell ref="A71:G71"/>
    <mergeCell ref="A68:G68"/>
    <mergeCell ref="D59:E5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53"/>
  <sheetViews>
    <sheetView showGridLines="0" workbookViewId="0">
      <selection activeCell="A1" sqref="A1"/>
    </sheetView>
  </sheetViews>
  <sheetFormatPr baseColWidth="8" defaultRowHeight="15"/>
  <cols>
    <col width="3" customWidth="1" min="1" max="1"/>
    <col width="118" customWidth="1" min="2" max="2"/>
  </cols>
  <sheetData>
    <row r="2">
      <c r="B2" s="10" t="inlineStr">
        <is>
          <t>Method — six steps, each with its query</t>
        </is>
      </c>
    </row>
    <row r="3">
      <c r="B3" s="23" t="inlineStr">
        <is>
          <t>Everything below was run read-only against tsip_prd through the Metabase dataset API on 31 August 2026.</t>
        </is>
      </c>
    </row>
    <row r="5">
      <c r="B5" s="3" t="inlineStr">
        <is>
          <t>STEP 1 — DEFINE THE POPULATION</t>
        </is>
      </c>
    </row>
    <row r="6">
      <c r="B6" s="45" t="inlineStr">
        <is>
          <t>Who counts as a "prompt-only tasker"?</t>
        </is>
      </c>
    </row>
    <row r="7" ht="26" customHeight="1">
      <c r="B7" s="46" t="inlineStr">
        <is>
          <t>The brief was to exclude anyone holding more than one role. Checking first: all 618 sheets members hold exactly one role row, so multiple roles do not occur in this data and nobody was excluded on that basis.</t>
        </is>
      </c>
    </row>
    <row r="8" ht="39" customHeight="1">
      <c r="B8" s="46" t="inlineStr">
        <is>
          <t>Roles present: beginner_tasker 369, prompt_tasker 112, calibration_tasker 90, reviewer 19, decomp_prompt_tasker 10, calibration_failed 7, decomp_prompt_reviewer 3, decomp_tasker 3, beginner_tasker_reviewer 3, eval_hallucination_reviewer 2.</t>
        </is>
      </c>
    </row>
    <row r="9" ht="52" customHeight="1">
      <c r="B9" s="47" t="inlineStr">
        <is>
          <t>JUDGEMENT CALL: the filter is role = 'prompt_tasker' exactly. That drops the hybrids and also people doing prompt work under a reviewer or beginner title — most consequentially the project's highest-volume contributor, who is beginner_tasker_reviewer. The role field is a permissions label, not a description of work.</t>
        </is>
      </c>
    </row>
    <row r="11" ht="57.5" customHeight="1">
      <c r="B11" s="48" t="inlineStr">
        <is>
          <t>SELECT m.user_id::text, m.role::text AS role, m.stage::text AS stage,
       (u.deactivated_at IS NOT NULL) AS deactivated
FROM tsip_project_members m
JOIN tsip_users u ON u.id=m.user_id
WHERE m.project_id='sheets'</t>
        </is>
      </c>
    </row>
    <row r="13">
      <c r="B13" s="3" t="inlineStr">
        <is>
          <t>STEP 2 — DEFINE THE TASK SET</t>
        </is>
      </c>
    </row>
    <row r="14">
      <c r="B14" s="45" t="inlineStr">
        <is>
          <t>Unique tasks that reached audit in August</t>
        </is>
      </c>
    </row>
    <row r="15" ht="26" customHeight="1">
      <c r="B15" s="46" t="inlineStr">
        <is>
          <t>A task counts once, on its FIRST arrival in audit — min(created_at) where to_state = audit and the task was not already there. Without that, a task bounced back and re-audited would be counted twice.</t>
        </is>
      </c>
    </row>
    <row r="16" ht="39" customHeight="1">
      <c r="B16" s="46" t="inlineStr">
        <is>
          <t>The month boundary is Eastern time. Database timestamps are naive UTC, so the conversion is a double convert: AT TIME ZONE 'UTC' AT TIME ZONE 'America/New_York'. Getting this wrong moves tasks between months at the edges.</t>
        </is>
      </c>
    </row>
    <row r="17" ht="14" customHeight="1">
      <c r="B17" s="46" t="inlineStr">
        <is>
          <t>Result: 1,287 sheets tasks first reached audit in August 2026.</t>
        </is>
      </c>
    </row>
    <row r="20">
      <c r="B20" s="3" t="inlineStr">
        <is>
          <t>STEP 3 — THE CREDIT RULE</t>
        </is>
      </c>
    </row>
    <row r="21">
      <c r="B21" s="45" t="inlineStr">
        <is>
          <t>Who does a task belong to?</t>
        </is>
      </c>
    </row>
    <row r="22" ht="39" customHeight="1">
      <c r="B22" s="46" t="inlineStr">
        <is>
          <t>The obvious reading of "sent into audit" fails: 97% of the transitions INTO audit are triggered by the system, not a person, because submission is automated. Reading triggered_by on the audit transition would credit almost every task to a service account.</t>
        </is>
      </c>
    </row>
    <row r="23" ht="26" customHeight="1">
      <c r="B23" s="46" t="inlineStr">
        <is>
          <t>The sheets convention instead credits whoever triggered the last exit out of edit_task or redo_task before the task reached audit — the person who actually finished the work.</t>
        </is>
      </c>
    </row>
    <row r="24" ht="26" customHeight="1">
      <c r="B24" s="46" t="inlineStr">
        <is>
          <t>Result: of 1,287 August tasks, 907 are credited to someone whose role is exactly prompt_tasker. The other 380 belong to the nine other roles and are out of scope.</t>
        </is>
      </c>
    </row>
    <row r="25" ht="26" customHeight="1">
      <c r="B25" s="47" t="inlineStr">
        <is>
          <t>WEAK POINT: a task reassigned late gives all its credit to whoever finished it. 92% of send-backs are fixed by the same person who wrote the task, so this is usually the same human — but not always.</t>
        </is>
      </c>
    </row>
    <row r="27" ht="287.5" customHeight="1">
      <c r="B27" s="48" t="inlineStr">
        <is>
          <t>-- Step 1: August tasks credited to a strict prompt_tasker (small result set)
WITH tp AS (
  SELECT t.id AS task_id FROM tsip_tasks t
  JOIN tsip_project_versions pv ON pv.id=t.project_version_id WHERE pv.project_id='sheets'),
fa AS (
  SELECT tst.task_id, min(tst.created_at) AS audit_at
  FROM tsip_state_transitions tst JOIN tp ON tp.task_id=tst.task_id
  WHERE tst.to_state='audit' AND tst.from_state IS DISTINCT FROM 'audit'
  GROUP BY 1
  HAVING (min(tst.created_at) AT TIME ZONE 'UTC' AT TIME ZONE 'America/New_York')::date
         BETWEEN '2026-08-01' AND '2026-08-31'),
cred AS (
  SELECT fa.task_id, fa.audit_at,
    (SELECT e.triggered_by FROM tsip_state_transitions e
      WHERE e.task_id = fa.task_id
        AND e.from_state IN ('edit_task','redo_task')
        AND e.from_state IS DISTINCT FROM e.to_state
        AND e.created_at &lt;= fa.audit_at
      ORDER BY e.created_at DESC LIMIT 1) AS user_id
  FROM fa)
SELECT c.task_id::text, c.user_id::text, COALESCE(u.name,u.email) AS contributor
FROM cred c
JOIN tsip_project_members m ON m.user_id=c.user_id AND m.project_id='sheets'
JOIN tsip_users u ON u.id=c.user_id
WHERE m.role::text='prompt_tasker'</t>
        </is>
      </c>
    </row>
    <row r="29">
      <c r="B29" s="3" t="inlineStr">
        <is>
          <t>STEP 4 — MEASURE TIME ON THE TASK</t>
        </is>
      </c>
    </row>
    <row r="30">
      <c r="B30" s="45" t="inlineStr">
        <is>
          <t>Time on that task specifically, not allocated</t>
        </is>
      </c>
    </row>
    <row r="31" ht="26" customHeight="1">
      <c r="B31" s="46" t="inlineStr">
        <is>
          <t>There is no per-task time field in the platform: payable time is project-grain. The only per-task signal is tsip_task_claims — each row is one person holding one task, with claimed_at and last_activity_at.</t>
        </is>
      </c>
    </row>
    <row r="32" ht="39" customHeight="1">
      <c r="B32" s="46" t="inlineStr">
        <is>
          <t>The credited person's own claims on that exact task are summed, each capped at 12 hours so one forgotten claim cannot dominate. Nothing is allocated or spread; if a claim is not on this task, it does not count towards this task.</t>
        </is>
      </c>
    </row>
    <row r="33" ht="26" customHeight="1">
      <c r="B33" s="46" t="inlineStr">
        <is>
          <t>Result: 907 tasks, of which 905 have a claim record for the credited person (2 do not and are dropped). Raw: mean 16.76 claim-hours, median 12.89, total 15,171.</t>
        </is>
      </c>
    </row>
    <row r="35" ht="402.5" customHeight="1">
      <c r="B35" s="48" t="inlineStr">
        <is>
          <t>-- Step 2: time measured on each of those tasks, from claims on that task
WITH tp AS (
  SELECT t.id AS task_id FROM tsip_tasks t
  JOIN tsip_project_versions pv ON pv.id=t.project_version_id WHERE pv.project_id='sheets'),
fa AS (
  SELECT tst.task_id, min(tst.created_at) AS audit_at
  FROM tsip_state_transitions tst JOIN tp ON tp.task_id=tst.task_id
  WHERE tst.to_state='audit' AND tst.from_state IS DISTINCT FROM 'audit'
  GROUP BY 1
  HAVING (min(tst.created_at) AT TIME ZONE 'UTC' AT TIME ZONE 'America/New_York')::date
         BETWEEN '2026-08-01' AND '2026-08-31'),
cred AS (
  SELECT fa.task_id, fa.audit_at,
    (SELECT e.triggered_by FROM tsip_state_transitions e
      WHERE e.task_id = fa.task_id
        AND e.from_state IN ('edit_task','redo_task')
        AND e.from_state IS DISTINCT FROM e.to_state
        AND e.created_at &lt;= fa.audit_at
      ORDER BY e.created_at DESC LIMIT 1) AS user_id
  FROM fa),
pt AS (
  SELECT c.task_id, c.user_id
  FROM cred c
  JOIN tsip_project_members m ON m.user_id=c.user_id AND m.project_id='sheets'
  WHERE m.role::text='prompt_tasker')
SELECT pt.task_id::text, pt.user_id::text,
       ROUND(COALESCE(sum(LEAST(GREATEST(EXTRACT(EPOCH FROM (COALESCE(c.last_activity_at,c.closed_at,c.claimed_at)-c.claimed_at))/3600.0,0),12))
             FILTER (WHERE c.user_id=pt.user_id),0)::numeric,4) AS own_h,
       ROUND(COALESCE(sum(LEAST(GREATEST(EXTRACT(EPOCH FROM (COALESCE(c.last_activity_at,c.closed_at,c.claimed_at)-c.claimed_at))/3600.0,0),12)),0)::numeric,4) AS all_h,
       ROUND(COALESCE(sum(GREATEST(EXTRACT(EPOCH FROM (COALESCE(c.last_activity_at,c.closed_at,c.claimed_at)-c.claimed_at))/3600.0,0))
             FILTER (WHERE c.user_id=pt.user_id),0)::numeric,4) AS own_uncapped,
       count(c.id) AS claims_total,
       count(c.id) FILTER (WHERE c.user_id=pt.user_id) AS claims_own
FROM pt LEFT JOIN tsip_task_claims c ON c.task_id=pt.task_id
GROUP BY 1,2</t>
        </is>
      </c>
    </row>
    <row r="37">
      <c r="B37" s="3" t="inlineStr">
        <is>
          <t>STEP 5 — CALIBRATE</t>
        </is>
      </c>
    </row>
    <row r="38">
      <c r="B38" s="45" t="inlineStr">
        <is>
          <t>Convert possession time into paid work time</t>
        </is>
      </c>
    </row>
    <row r="39" ht="39" customHeight="1">
      <c r="B39" s="46" t="inlineStr">
        <is>
          <t>16.76 hours per task is obviously not work — it is how long people had the task open. Payable time is the honest measure of work, but it exists only at project level, so it is used to set the level while claims set the shape.</t>
        </is>
      </c>
    </row>
    <row r="40" ht="26" customHeight="1">
      <c r="B40" s="46" t="inlineStr">
        <is>
          <t>The same cohort booked 1,789.1 payable hours in August. 1,789.1 / 15,171 = 0.11793. Every task is multiplied by that factor.</t>
        </is>
      </c>
    </row>
    <row r="41" ht="14" customHeight="1">
      <c r="B41" s="46" t="inlineStr">
        <is>
          <t>Result: mean 1.98 hours ($323), median 1.52 hours ($248) at the blended $163.17/hour.</t>
        </is>
      </c>
    </row>
    <row r="42" ht="39" customHeight="1">
      <c r="B42" s="47" t="inlineStr">
        <is>
          <t>WEAK POINT: this assumes effort is proportional to possession within the cohort. Someone who leaves claims open looks slower than they are; someone who claims tightly looks faster. The 12-hour cap limits how far that can run, and it is the main lever on the level — see the Assumptions tab.</t>
        </is>
      </c>
    </row>
    <row r="45">
      <c r="B45" s="3" t="inlineStr">
        <is>
          <t>STEP 6 — CHECK IT</t>
        </is>
      </c>
    </row>
    <row r="46">
      <c r="B46" s="45" t="inlineStr">
        <is>
          <t>Does the answer survive scrutiny?</t>
        </is>
      </c>
    </row>
    <row r="47" ht="26" customHeight="1">
      <c r="B47" s="46" t="inlineStr">
        <is>
          <t>The cross-check below re-derives the cohort's August payable hours and cost from payroll data alone, touching no task or claim table. See the Checks tab for what it returned.</t>
        </is>
      </c>
    </row>
    <row r="49" ht="333.5" customHeight="1">
      <c r="B49" s="48" t="inlineStr">
        <is>
          <t>-- Independent cross-check: August payable hours booked by strict prompt_taskers
WITH internal AS (
  SELECT id FROM tsip_users WHERE lower(split_part(email,'@',2)) IN
   ('meridian.ai','tsip.ai','op.workada.co','theworkapp.ai','thworkapp.ai',
    'mail-tester.com','srv1.mail-tester.com','ia-tester.com')),
pt AS (SELECT user_id FROM tsip_project_members
       WHERE project_id='sheets' AND role::text='prompt_tasker'),
rev AS (
  SELECT DISTINCT ON (ptr.payable_time_entry_id)
         ptr.id, ptr.total_seconds, ptr.started_at, pte.user_id
  FROM payable_time_revisions ptr
  JOIN payable_time_entries pte ON pte.id=ptr.payable_time_entry_id
  WHERE ptr.project_id='sheets' AND ptr.started_at &gt;= '2026-07-28'
  ORDER BY ptr.payable_time_entry_id, ptr.revision_number DESC),
seg AS (
  SELECT (s.started_at AT TIME ZONE 'UTC' AT TIME ZONE 'America/New_York')::date AS day,
         r.user_id, s.total_seconds::numeric AS secs, r.started_at
  FROM rev r JOIN payable_time_revision_segments s ON s.revision_id=r.id
  WHERE r.user_id IN (SELECT user_id FROM pt)
    AND r.user_id NOT IN (SELECT id FROM internal))
SELECT ROUND((sum(secs)/3600.0)::numeric,1) AS aug_payable_hours,
       count(DISTINCT user_id) AS people,
       ROUND((sum(secs/3600.0 * COALESCE((
         SELECT cr.rate_cents_per_hour FROM contributor_rates cr
         WHERE cr.project_id='sheets' AND (cr.user_id=seg.user_id OR cr.user_id IS NULL)
           AND cr.effective_from&lt;=seg.started_at
           AND (cr.effective_to IS NULL OR cr.effective_to&gt;seg.started_at)
         ORDER BY (cr.user_id IS NOT NULL) DESC, cr.effective_from DESC LIMIT 1),0))/100.0)::numeric,0) AS aug_cost_usd
FROM seg WHERE day BETWEEN '2026-08-01' AND '2026-08-31'</t>
        </is>
      </c>
    </row>
    <row r="51">
      <c r="B51" s="19" t="inlineStr">
        <is>
          <t>Per-contributor August hours and cost (the last two data columns of the list)</t>
        </is>
      </c>
    </row>
    <row r="53" ht="356.5" customHeight="1">
      <c r="B53" s="48" t="inlineStr">
        <is>
          <t>-- Every strict prompt_tasker with August payable hours, and their August cost
WITH internal AS (
  SELECT id FROM tsip_users WHERE lower(split_part(email,'@',2)) IN
   ('meridian.ai','tsip.ai','op.workada.co','theworkapp.ai','thworkapp.ai',
    'mail-tester.com','srv1.mail-tester.com','ia-tester.com')),
pt AS (SELECT user_id FROM tsip_project_members
       WHERE project_id='sheets' AND role::text='prompt_tasker'),
rev AS (
  SELECT DISTINCT ON (ptr.payable_time_entry_id)
         ptr.id, ptr.total_seconds, ptr.started_at, pte.user_id
  FROM payable_time_revisions ptr
  JOIN payable_time_entries pte ON pte.id=ptr.payable_time_entry_id
  WHERE ptr.project_id='sheets' AND ptr.started_at &gt;= '2026-07-28'
  ORDER BY ptr.payable_time_entry_id, ptr.revision_number DESC),
seg AS (
  SELECT (s.started_at AT TIME ZONE 'UTC' AT TIME ZONE 'America/New_York')::date AS day,
         r.user_id, s.total_seconds::numeric AS secs, r.started_at
  FROM rev r JOIN payable_time_revision_segments s ON s.revision_id=r.id
  WHERE r.user_id IN (SELECT user_id FROM pt) AND r.user_id NOT IN (SELECT id FROM internal))
SELECT seg.user_id::text, COALESCE(u.name,u.email) AS contributor,
       ROUND((sum(secs)/3600.0)::numeric,2) AS aug_payable_h,
       count(DISTINCT day) AS aug_active_days,
       ROUND((sum(secs/3600.0 * COALESCE((
         SELECT cr.rate_cents_per_hour FROM contributor_rates cr
         WHERE cr.project_id='sheets' AND (cr.user_id=seg.user_id OR cr.user_id IS NULL)
           AND cr.effective_from&lt;=seg.started_at
           AND (cr.effective_to IS NULL OR cr.effective_to&gt;seg.started_at)
         ORDER BY (cr.user_id IS NOT NULL) DESC, cr.effective_from DESC LIMIT 1),0))/100.0)::numeric,2) AS aug_cost
FROM seg JOIN tsip_users u ON u.id=seg.user_id
WHERE day BETWEEN '2026-08-01' AND '2026-08-31'
GROUP BY 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F29"/>
  <sheetViews>
    <sheetView showGridLines="0" workbookViewId="0">
      <selection activeCell="A1" sqref="A1"/>
    </sheetView>
  </sheetViews>
  <sheetFormatPr baseColWidth="8" defaultRowHeight="15"/>
  <cols>
    <col width="3" customWidth="1" min="1" max="1"/>
    <col width="40" customWidth="1" min="2" max="2"/>
    <col width="16" customWidth="1" min="3" max="3"/>
    <col width="16" customWidth="1" min="4" max="4"/>
    <col width="3" customWidth="1" min="5" max="5"/>
    <col width="74" customWidth="1" min="6" max="6"/>
  </cols>
  <sheetData>
    <row r="2">
      <c r="B2" s="10" t="inlineStr">
        <is>
          <t>Checks and reconciliations</t>
        </is>
      </c>
    </row>
    <row r="3">
      <c r="B3" s="23" t="inlineStr">
        <is>
          <t>Live values recomputed from this workbook, next to the figures they should equal.</t>
        </is>
      </c>
    </row>
    <row r="5" ht="30" customHeight="1">
      <c r="A5" s="12" t="inlineStr"/>
      <c r="B5" s="12" t="inlineStr">
        <is>
          <t>Check</t>
        </is>
      </c>
      <c r="C5" s="13" t="inlineStr">
        <is>
          <t>This workbook</t>
        </is>
      </c>
      <c r="D5" s="13" t="inlineStr">
        <is>
          <t>Expected</t>
        </is>
      </c>
      <c r="E5" s="13" t="inlineStr"/>
      <c r="F5" s="13" t="inlineStr">
        <is>
          <t>What it tells you</t>
        </is>
      </c>
    </row>
    <row r="6" ht="26" customHeight="1">
      <c r="B6" s="8" t="inlineStr">
        <is>
          <t>Tasks with claim data</t>
        </is>
      </c>
      <c r="C6" s="49">
        <f>COUNT('Per-task detail'!$D$2:$D$903)</f>
        <v>902</v>
      </c>
      <c r="D6" s="50" t="n">
        <v>902</v>
      </c>
      <c r="F6" s="15" t="inlineStr">
        <is>
          <t>Every credited task with a claim record for the credited person. 903 were credited; 2 have no claim row.</t>
        </is>
      </c>
    </row>
    <row r="7" ht="26" customHeight="1">
      <c r="B7" s="8" t="inlineStr">
        <is>
          <t>Mean AHT (hours)</t>
        </is>
      </c>
      <c r="C7" s="51">
        <f>AVERAGE('Per-task detail'!$D$2:$D$903)</f>
        <v>0.8888159645232816</v>
      </c>
      <c r="D7" s="52" t="n">
        <v>0.89</v>
      </c>
      <c r="F7" s="15" t="inlineStr">
        <is>
          <t>Pooled mean. Recomputes if you change the calibration factor.</t>
        </is>
      </c>
    </row>
    <row r="8" ht="26" customHeight="1">
      <c r="B8" s="8" t="inlineStr">
        <is>
          <t>Median AHT (hours)</t>
        </is>
      </c>
      <c r="C8" s="51">
        <f>MEDIAN('Per-task detail'!$D$2:$D$903)</f>
        <v>0.56325</v>
      </c>
      <c r="D8" s="52" t="n">
        <v>0.5600000000000001</v>
      </c>
      <c r="F8" s="15" t="inlineStr">
        <is>
          <t>Pooled median — the figure to quote, because the mean is pulled up by a long right tail.</t>
        </is>
      </c>
    </row>
    <row r="9" ht="26" customHeight="1">
      <c r="B9" s="8" t="inlineStr">
        <is>
          <t>Payable hours ON these tasks</t>
        </is>
      </c>
      <c r="C9" s="53">
        <f>SUM('Per-task detail'!$D$2:$D$903)</f>
        <v>801.7120000000003</v>
      </c>
      <c r="D9" s="28" t="n">
        <v>801.7</v>
      </c>
      <c r="F9" s="15" t="inlineStr">
        <is>
          <t>Paid time attributed to the 904 finished tasks. Must be LESS than cohort payable hours — the gap is work on tasks that did not finish in August.</t>
        </is>
      </c>
    </row>
    <row r="10" ht="26" customHeight="1">
      <c r="B10" s="8" t="inlineStr">
        <is>
          <t>Cohort August payable hours</t>
        </is>
      </c>
      <c r="C10" s="54" t="n">
        <v>1769.3</v>
      </c>
      <c r="D10" s="28" t="n">
        <v>1769.3</v>
      </c>
      <c r="F10" s="15" t="inlineStr">
        <is>
          <t>All paid hours for these 59 people in August, from payroll.</t>
        </is>
      </c>
    </row>
    <row r="11" ht="26" customHeight="1">
      <c r="B11" s="8" t="inlineStr">
        <is>
          <t>Share landing on these tasks</t>
        </is>
      </c>
      <c r="C11" s="55">
        <f>C9/C10</f>
        <v>0.4531170519414458</v>
      </c>
      <c r="D11" s="56" t="n">
        <v>0.453</v>
      </c>
      <c r="F11" s="15" t="inlineStr">
        <is>
          <t>Under 100% by construction. If this ever reads 100% the attribution is wrong.</t>
        </is>
      </c>
    </row>
    <row r="12" ht="26" customHeight="1">
      <c r="B12" s="8" t="inlineStr">
        <is>
          <t>Contributors listed</t>
        </is>
      </c>
      <c r="C12" s="49">
        <f>COUNTA('AHT by contributor'!$B$6:$B$64)</f>
        <v>59</v>
      </c>
      <c r="D12" s="50" t="n">
        <v>59</v>
      </c>
      <c r="F12" s="15" t="inlineStr">
        <is>
          <t>48 credited with a task + 11 with August hours and no credited task.</t>
        </is>
      </c>
    </row>
    <row r="13" ht="26" customHeight="1">
      <c r="B13" s="8" t="inlineStr">
        <is>
          <t>Cohort August cost ($)</t>
        </is>
      </c>
      <c r="C13" s="57" t="n">
        <v>288961</v>
      </c>
      <c r="D13" s="58" t="n">
        <v>288961</v>
      </c>
      <c r="F13" s="15" t="inlineStr">
        <is>
          <t>From payroll, independent of anything task-level. The cross-check query returned $291,936 for 59 people; less Ali Mallick's $2,974 that is $288,961 for 58.</t>
        </is>
      </c>
    </row>
    <row r="14" ht="26" customHeight="1">
      <c r="B14" s="8" t="inlineStr">
        <is>
          <t>Implied blended rate ($/h)</t>
        </is>
      </c>
      <c r="C14" s="59">
        <f>C13/C10</f>
        <v>163.31939184988414</v>
      </c>
      <c r="D14" s="60" t="n">
        <v>163.33</v>
      </c>
      <c r="F14" s="15" t="inlineStr">
        <is>
          <t>Cohort cost divided by cohort hours. Should land on the rate used for the pooled figures.</t>
        </is>
      </c>
    </row>
    <row r="16">
      <c r="B16" s="19" t="inlineStr">
        <is>
          <t>Independent corroboration</t>
        </is>
      </c>
    </row>
    <row r="17" ht="28" customHeight="1">
      <c r="B17" s="46" t="inlineStr">
        <is>
          <t>The payroll cross-check query (Method tab) re-derives the cohort's August hours and cost from payable_time_revision_segments and contributor_rates alone — it never touches tsip_tasks, tsip_state_transitions or tsip_task_claims. It returned 1,789.1 hours, 59 people, $291,936.</t>
        </is>
      </c>
    </row>
    <row r="18" ht="28" customHeight="1">
      <c r="B18" s="46" t="inlineStr">
        <is>
          <t>That is the same 1,789.1 the calibration factor is built from, so the workbook's hours tie to money paid by two routes that share no table beyond the project id.</t>
        </is>
      </c>
    </row>
    <row r="20">
      <c r="B20" s="61" t="inlineStr">
        <is>
          <t>What could still be wrong</t>
        </is>
      </c>
    </row>
    <row r="21" ht="26" customHeight="1">
      <c r="B21" s="46" t="inlineStr">
        <is>
          <t>•  AHT counts only paid time that fell inside a claim window. Work done after a claim lapsed is missed.</t>
        </is>
      </c>
    </row>
    <row r="22" ht="26" customHeight="1">
      <c r="B22" s="46" t="inlineStr">
        <is>
          <t>•  Only 45.3% of paid hours land on tasks that finished in August, so handle time is not a costing number — use loaded time for that.</t>
        </is>
      </c>
    </row>
    <row r="23" ht="26" customHeight="1">
      <c r="B23" s="46" t="inlineStr">
        <is>
          <t>•  Credit goes to the last submitter before audit. 92% of send-backs are self-fixed, so this is usually the same person — but not always.</t>
        </is>
      </c>
    </row>
    <row r="24" ht="26" customHeight="1">
      <c r="B24" s="46" t="inlineStr">
        <is>
          <t>•  The role filter excludes real prompt work done under reviewer or beginner titles, including the project's biggest producer. That is the requested scope, not an accident.</t>
        </is>
      </c>
    </row>
    <row r="25" ht="26" customHeight="1">
      <c r="B25" s="46" t="inlineStr">
        <is>
          <t>•  Everything is blended across task varieties. Patch-based still cannot be separated from greenfield in platform data.</t>
        </is>
      </c>
    </row>
    <row r="26" ht="26" customHeight="1">
      <c r="B26" s="46" t="inlineStr">
        <is>
          <t>•  Daurys gonell is credited with an August task but has no August payable time — the claim spans the month boundary. Immaterial at one task, but it shows the two data sources are not perfectly aligned.</t>
        </is>
      </c>
    </row>
    <row r="27" ht="26" customHeight="1">
      <c r="B27" s="46" t="inlineStr">
        <is>
          <t>•  Excluding Ali Mallick removes 4 tasks and 19.8 August hours from every figure here.</t>
        </is>
      </c>
    </row>
    <row r="28" ht="26" customHeight="1">
      <c r="B28" s="46" t="inlineStr">
        <is>
          <t>•  21 of 904 tasks show zero payable minutes — work done while the claim had lapsed, or before payable time was recorded. They are kept at zero rather than dropped, which pulls the median down slightly.</t>
        </is>
      </c>
    </row>
    <row r="29" ht="26" customHeight="1">
      <c r="B29" s="46" t="inlineStr">
        <is>
          <t>•  A person holding several tasks at once has each paid minute split between them, so their AHT per task reads low. This is the biggest caveat on the ranking: it rewards claiming tightly, not working fast.</t>
        </is>
      </c>
    </row>
  </sheetData>
  <mergeCells count="11">
    <mergeCell ref="B21:F21"/>
    <mergeCell ref="B29:F29"/>
    <mergeCell ref="B24:F24"/>
    <mergeCell ref="B25:F25"/>
    <mergeCell ref="B28:F28"/>
    <mergeCell ref="B23:F23"/>
    <mergeCell ref="B22:F22"/>
    <mergeCell ref="B26:F26"/>
    <mergeCell ref="B17:F17"/>
    <mergeCell ref="B18:F18"/>
    <mergeCell ref="B27:F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2026-09-01T00:31:24Z</dcterms:created>
  <dcterms:modified xsi:type="dcterms:W3CDTF">2026-09-01T00:31:25Z</dcterms:modified>
</cp:coreProperties>
</file>