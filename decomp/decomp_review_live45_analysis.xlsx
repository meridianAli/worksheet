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asks" sheetId="2" state="visible" r:id="rId2"/>
    <sheet name="No-outline detail" sheetId="3" state="visible" r:id="rId3"/>
    <sheet name="Outlines" sheetId="4" state="visible" r:id="rId4"/>
    <sheet name="Agent runs" sheetId="5" state="visible" r:id="rId5"/>
    <sheet name="Transitions" sheetId="6" state="visible" r:id="rId6"/>
    <sheet name="Method" sheetId="7" state="visible" r:id="rId7"/>
  </sheets>
  <definedNames/>
  <calcPr calcId="124519" fullCalcOnLoad="1"/>
</workbook>
</file>

<file path=xl/styles.xml><?xml version="1.0" encoding="utf-8"?>
<styleSheet xmlns="http://schemas.openxmlformats.org/spreadsheetml/2006/main">
  <numFmts count="3">
    <numFmt numFmtId="164" formatCode="yyyy-mm-dd hh:mm"/>
    <numFmt numFmtId="165" formatCode="0.0"/>
    <numFmt numFmtId="166" formatCode="0.0%"/>
  </numFmts>
  <fonts count="7">
    <font>
      <name val="Calibri"/>
      <family val="2"/>
      <color theme="1"/>
      <sz val="11"/>
      <scheme val="minor"/>
    </font>
    <font>
      <name val="Arial"/>
      <b val="1"/>
      <color rgb="00FFFFFF"/>
      <sz val="10"/>
    </font>
    <font>
      <name val="Arial"/>
      <sz val="10"/>
    </font>
    <font>
      <name val="Arial"/>
      <b val="1"/>
      <sz val="14"/>
    </font>
    <font>
      <name val="Arial"/>
      <i val="1"/>
      <color rgb="00595959"/>
      <sz val="9"/>
    </font>
    <font>
      <name val="Arial"/>
      <b val="1"/>
      <sz val="10"/>
    </font>
    <font>
      <name val="Arial"/>
      <color rgb="000000FF"/>
      <sz val="10"/>
    </font>
  </fonts>
  <fills count="6">
    <fill>
      <patternFill/>
    </fill>
    <fill>
      <patternFill patternType="gray125"/>
    </fill>
    <fill>
      <patternFill patternType="solid">
        <fgColor rgb="001F3864"/>
      </patternFill>
    </fill>
    <fill>
      <patternFill patternType="solid">
        <fgColor rgb="00F8CBAD"/>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23">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5" fillId="0" borderId="0" pivotButton="0" quotePrefix="0" xfId="0"/>
    <xf numFmtId="0" fontId="2" fillId="0" borderId="0" pivotButton="0" quotePrefix="0" xfId="0"/>
    <xf numFmtId="166" fontId="2" fillId="0" borderId="0" pivotButton="0" quotePrefix="0" xfId="0"/>
    <xf numFmtId="3" fontId="2" fillId="0" borderId="0" pivotButton="0" quotePrefix="0" xfId="0"/>
    <xf numFmtId="9" fontId="6"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xf>
    <xf numFmtId="9" fontId="2" fillId="0" borderId="0" applyAlignment="1" pivotButton="0" quotePrefix="0" xfId="0">
      <alignment vertical="top"/>
    </xf>
    <xf numFmtId="164" fontId="2" fillId="0" borderId="0" applyAlignment="1" pivotButton="0" quotePrefix="0" xfId="0">
      <alignment vertical="top"/>
    </xf>
    <xf numFmtId="165" fontId="2" fillId="0" borderId="0" applyAlignment="1" pivotButton="0" quotePrefix="0" xfId="0">
      <alignment vertical="top"/>
    </xf>
    <xf numFmtId="3" fontId="2" fillId="0" borderId="0" applyAlignment="1" pivotButton="0" quotePrefix="0" xfId="0">
      <alignment vertical="top"/>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sks" displayName="Tasks" ref="A1:AK51" headerRowCount="1">
  <autoFilter ref="A1:AK51"/>
  <tableColumns count="37">
    <tableColumn id="1" name="Task"/>
    <tableColumn id="2" name="Diagnosis"/>
    <tableColumn id="3" name="Recommended action"/>
    <tableColumn id="4" name="Quality flags (from reading the outline)"/>
    <tableColumn id="5" name="Evidence"/>
    <tableColumn id="6" name="Bucket in 09-01 triage"/>
    <tableColumn id="7" name="Decomper"/>
    <tableColumn id="8" name="Decomper too-easy prior"/>
    <tableColumn id="9" name="Decomper SOTA-scored (n)"/>
    <tableColumn id="10" name="Entered decomp_review (UTC)"/>
    <tableColumn id="11" name="Days waiting"/>
    <tableColumn id="12" name="decomp_review visits"/>
    <tableColumn id="13" name="Outline generations"/>
    <tableColumn id="14" name="Admin overrides"/>
    <tableColumn id="15" name="Override by"/>
    <tableColumn id="16" name="Has outline"/>
    <tableColumn id="17" name="Outline chars (now)"/>
    <tableColumn id="18" name="Outline chars (09-01 snapshot)"/>
    <tableColumn id="19" name="Bullets"/>
    <tableColumn id="20" name="Transition chars"/>
    <tableColumn id="21" name="Unique formulas"/>
    <tableColumn id="22" name="Is clone"/>
    <tableColumn id="23" name="Input workbook"/>
    <tableColumn id="24" name="Input KB"/>
    <tableColumn id="25" name="Output workbook"/>
    <tableColumn id="26" name="Output KB"/>
    <tableColumn id="27" name="Largest file &gt; 4MB"/>
    <tableColumn id="28" name="Output smaller than input"/>
    <tableColumn id="29" name="Files identical"/>
    <tableColumn id="30" name="Agent runs"/>
    <tableColumn id="31" name="Empty-context runs"/>
    <tableColumn id="32" name="Last run status"/>
    <tableColumn id="33" name="Last run input tokens"/>
    <tableColumn id="34" name="Last run output tokens"/>
    <tableColumn id="35" name="Source file (decomper upload)"/>
    <tableColumn id="36" name="Cloned from task"/>
    <tableColumn id="37" name="Task ID"/>
  </tableColumns>
  <tableStyleInfo name="TableStyleLight1" showRowStripes="1"/>
</table>
</file>

<file path=xl/tables/table2.xml><?xml version="1.0" encoding="utf-8"?>
<table xmlns="http://schemas.openxmlformats.org/spreadsheetml/2006/main" id="2" name="NoOutline" displayName="NoOutline" ref="A1:N8" headerRowCount="1">
  <autoFilter ref="A1:N8"/>
  <tableColumns count="14">
    <tableColumn id="1" name="Task"/>
    <tableColumn id="2" name="Decomper"/>
    <tableColumn id="3" name="Input workbook"/>
    <tableColumn id="4" name="Input KB"/>
    <tableColumn id="5" name="Output workbook"/>
    <tableColumn id="6" name="Output KB"/>
    <tableColumn id="7" name="Largest &gt; 4MB"/>
    <tableColumn id="8" name="Unique formulas"/>
    <tableColumn id="9" name="Agent runs"/>
    <tableColumn id="10" name="Empty-context runs"/>
    <tableColumn id="11" name="Run times (UTC) and tokens in/out"/>
    <tableColumn id="12" name="Transition description (what the decomper removed)"/>
    <tableColumn id="13" name="Recommended action"/>
    <tableColumn id="14" name="Task ID"/>
  </tableColumns>
  <tableStyleInfo name="TableStyleLight1" showRowStripes="1"/>
</table>
</file>

<file path=xl/tables/table3.xml><?xml version="1.0" encoding="utf-8"?>
<table xmlns="http://schemas.openxmlformats.org/spreadsheetml/2006/main" id="3" name="Outlines" displayName="Outlines" ref="A1:H51" headerRowCount="1">
  <autoFilter ref="A1:H51"/>
  <tableColumns count="8">
    <tableColumn id="1" name="Task"/>
    <tableColumn id="2" name="Recommended action"/>
    <tableColumn id="3" name="Decomper"/>
    <tableColumn id="4" name="Unique formulas"/>
    <tableColumn id="5" name="Outline chars"/>
    <tableColumn id="6" name="Transition description"/>
    <tableColumn id="7" name="Task outline (as stored)"/>
    <tableColumn id="8" name="Task ID"/>
  </tableColumns>
  <tableStyleInfo name="TableStyleLight1" showRowStripes="1"/>
</table>
</file>

<file path=xl/tables/table4.xml><?xml version="1.0" encoding="utf-8"?>
<table xmlns="http://schemas.openxmlformats.org/spreadsheetml/2006/main" id="4" name="AgentRuns" displayName="AgentRuns" ref="A1:K101" headerRowCount="1">
  <autoFilter ref="A1:K101"/>
  <tableColumns count="11">
    <tableColumn id="1" name="Task"/>
    <tableColumn id="2" name="Run created (UTC)"/>
    <tableColumn id="3" name="Status"/>
    <tableColumn id="4" name="Input tokens"/>
    <tableColumn id="5" name="Output tokens"/>
    <tableColumn id="6" name="Duration ms"/>
    <tableColumn id="7" name="Empty context"/>
    <tableColumn id="8" name="Model"/>
    <tableColumn id="9" name="Message"/>
    <tableColumn id="10" name="Error"/>
    <tableColumn id="11" name="Task ID"/>
  </tableColumns>
  <tableStyleInfo name="TableStyleLight1" showRowStripes="1"/>
</table>
</file>

<file path=xl/tables/table5.xml><?xml version="1.0" encoding="utf-8"?>
<table xmlns="http://schemas.openxmlformats.org/spreadsheetml/2006/main" id="5" name="Transitions" displayName="Transitions" ref="A1:G466" headerRowCount="1">
  <autoFilter ref="A1:G466"/>
  <tableColumns count="7">
    <tableColumn id="1" name="Task"/>
    <tableColumn id="2" name="At (UTC)"/>
    <tableColumn id="3" name="From"/>
    <tableColumn id="4" name="To"/>
    <tableColumn id="5" name="Event"/>
    <tableColumn id="6" name="Triggered by"/>
    <tableColumn id="7" name="Task I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62" customWidth="1" min="1" max="1"/>
    <col width="16" customWidth="1" min="2" max="2"/>
    <col width="110" customWidth="1" min="3" max="3"/>
    <col width="16" customWidth="1" min="4" max="4"/>
    <col width="16" customWidth="1" min="5" max="5"/>
    <col width="16" customWidth="1" min="6" max="6"/>
  </cols>
  <sheetData>
    <row r="1">
      <c r="A1" s="1" t="inlineStr">
        <is>
          <t>Sheets decomp_review queue: the 50 live tasks</t>
        </is>
      </c>
    </row>
    <row r="2">
      <c r="A2" s="2" t="inlineStr">
        <is>
          <t>Source: tsip_prd via Metabase (db id 2), snapshot 2026-09-02 00:08 UTC. Every count below is a formula over the Tasks sheet.</t>
        </is>
      </c>
    </row>
    <row r="3">
      <c r="A3" s="2" t="inlineStr">
        <is>
          <t>Legend: green = approve to generating_prompt; yellow = regenerate once; red = hold, needs an engineering fix. Blue text = hardcoded input.</t>
        </is>
      </c>
    </row>
    <row r="5">
      <c r="A5" s="3" t="inlineStr">
        <is>
          <t>Headline</t>
        </is>
      </c>
      <c r="B5" s="3" t="inlineStr">
        <is>
          <t>Count</t>
        </is>
      </c>
      <c r="C5" s="3" t="inlineStr">
        <is>
          <t>What it means</t>
        </is>
      </c>
    </row>
    <row r="6">
      <c r="A6" s="4" t="inlineStr">
        <is>
          <t>Live tasks in decomp_review (sheets)</t>
        </is>
      </c>
      <c r="B6" s="4">
        <f>COUNTA(Tasks!A2:A51)</f>
        <v/>
      </c>
      <c r="C6" t="inlineStr">
        <is>
          <t>Reconciles to the 45 visible in the app.</t>
        </is>
      </c>
    </row>
    <row r="7">
      <c r="A7" s="5" t="inlineStr">
        <is>
          <t>Have a task outline now</t>
        </is>
      </c>
      <c r="B7" s="5">
        <f>COUNTIF(Tasks!P2:P51,TRUE)</f>
        <v/>
      </c>
      <c r="C7" t="inlineStr">
        <is>
          <t>Ready for a sense check and APPROVE. 37 were regenerated after the admin overrides, 6 are new arrivals.</t>
        </is>
      </c>
    </row>
    <row r="8">
      <c r="A8" s="5" t="inlineStr">
        <is>
          <t>Still have no outline</t>
        </is>
      </c>
      <c r="B8" s="5">
        <f>COUNTIF(Tasks!P2:P51,FALSE)</f>
        <v/>
      </c>
      <c r="C8" t="inlineStr">
        <is>
          <t>Outline agent ran with empty context on every attempt (about 5,380 input tokens instead of 100k-1.8M).</t>
        </is>
      </c>
    </row>
    <row r="9">
      <c r="A9" s="5" t="inlineStr">
        <is>
          <t xml:space="preserve">   of which workbook &gt; 4MB</t>
        </is>
      </c>
      <c r="B9" s="5">
        <f>COUNTIFS(Tasks!P2:P51,FALSE,Tasks!AA2:AA51,TRUE)</f>
        <v/>
      </c>
      <c r="C9" t="inlineStr">
        <is>
          <t>Every task in the queue with a &gt;4MB workbook has failed every run. Re-running will not help; hold for an engineering fix or write the outline by hand.</t>
        </is>
      </c>
    </row>
    <row r="10">
      <c r="A10" s="5" t="inlineStr">
        <is>
          <t xml:space="preserve">   of which small workbook</t>
        </is>
      </c>
      <c r="B10" s="5">
        <f>COUNTIFS(Tasks!P2:P51,FALSE,Tasks!AA2:AA51,FALSE)</f>
        <v/>
      </c>
      <c r="C10" t="inlineStr">
        <is>
          <t>Worth one more regeneration (25613ef5 failed twice; 437756ce is a brand-new arrival whose first run was empty).</t>
        </is>
      </c>
    </row>
    <row r="11">
      <c r="A11" s="4" t="inlineStr">
        <is>
          <t>Recommended: APPROVE</t>
        </is>
      </c>
      <c r="B11" s="4">
        <f>COUNTIF(Tasks!C2:C51,"APPROVE*")</f>
        <v/>
      </c>
    </row>
    <row r="12">
      <c r="A12" s="4" t="inlineStr">
        <is>
          <t>Recommended: regenerate once</t>
        </is>
      </c>
      <c r="B12" s="4">
        <f>COUNTIF(Tasks!C2:C51,"Regenerate*")</f>
        <v/>
      </c>
    </row>
    <row r="13">
      <c r="A13" s="4" t="inlineStr">
        <is>
          <t>Recommended: HOLD</t>
        </is>
      </c>
      <c r="B13" s="4">
        <f>COUNTIF(Tasks!C2:C51,"HOLD*")</f>
        <v/>
      </c>
    </row>
    <row r="14">
      <c r="A14" s="5" t="inlineStr">
        <is>
          <t>Approvals that need summary bullets stripped first</t>
        </is>
      </c>
      <c r="B14" s="5">
        <f>COUNTIF(Tasks!C2:C51,"*Strip*")</f>
        <v/>
      </c>
      <c r="C14" t="inlineStr">
        <is>
          <t>The generator emitted a tab list or change summary above the real build steps (2a63059e, 0e3f0394, fa5950c9, 95606585, d75d1c87, 5961c436).</t>
        </is>
      </c>
    </row>
    <row r="15">
      <c r="A15" s="5" t="inlineStr">
        <is>
          <t>Approvals flagged too-easy risk</t>
        </is>
      </c>
      <c r="B15" s="5">
        <f>COUNTIF(Tasks!D2:D51,"*Too-easy risk*")+COUNTIF(Tasks!D2:D51,"*Foundational risk*")</f>
        <v/>
      </c>
      <c r="C15" t="inlineStr">
        <is>
          <t>Under 350 unique formulas and mostly link pulls. Likely to come back Foundational or Intermediate from SOTA.</t>
        </is>
      </c>
    </row>
    <row r="16">
      <c r="A16" s="5" t="inlineStr">
        <is>
          <t>Tasks written by decompers with &gt;= 80% too-easy history</t>
        </is>
      </c>
      <c r="B16" s="5">
        <f>COUNTIF(Tasks!H2:H51,"&gt;=0.8")</f>
        <v/>
      </c>
      <c r="C16" t="inlineStr">
        <is>
          <t>wangche2532, infinitearbitrage, mshuriah2702, nimisha. Not a blocker, but expect SOTA to cancel a good share.</t>
        </is>
      </c>
    </row>
    <row r="17">
      <c r="A17" s="5" t="inlineStr">
        <is>
          <t>Clones</t>
        </is>
      </c>
      <c r="B17" s="5">
        <f>COUNTIF(Tasks!V2:V51,TRUE)</f>
        <v/>
      </c>
    </row>
    <row r="18">
      <c r="A18" s="5" t="inlineStr">
        <is>
          <t>Output workbook smaller than input</t>
        </is>
      </c>
      <c r="B18" s="5">
        <f>COUNTIF(Tasks!AB2:AB51,TRUE)</f>
        <v/>
      </c>
      <c r="C18" t="inlineStr">
        <is>
          <t>95606585 only. Worth a glance; not a blocker.</t>
        </is>
      </c>
    </row>
    <row r="19">
      <c r="A19" s="5" t="inlineStr">
        <is>
          <t>Input and output workbook identical</t>
        </is>
      </c>
      <c r="B19" s="5">
        <f>COUNTIF(Tasks!AC2:AC51,TRUE)</f>
        <v/>
      </c>
      <c r="C19" t="inlineStr">
        <is>
          <t>Never happens.</t>
        </is>
      </c>
    </row>
    <row r="21">
      <c r="A21" s="3" t="inlineStr">
        <is>
          <t>Agent runs</t>
        </is>
      </c>
      <c r="B21" s="3" t="inlineStr">
        <is>
          <t>Value</t>
        </is>
      </c>
      <c r="C21" s="3" t="inlineStr">
        <is>
          <t>Note</t>
        </is>
      </c>
    </row>
    <row r="22">
      <c r="A22" s="5" t="inlineStr">
        <is>
          <t>Total outline-agent runs for these 45 tasks</t>
        </is>
      </c>
      <c r="B22" s="5">
        <f>SUM(Tasks!AD2:AD51)</f>
        <v/>
      </c>
    </row>
    <row r="23">
      <c r="A23" s="5" t="inlineStr">
        <is>
          <t>Runs with empty context (&lt; 10k input tokens)</t>
        </is>
      </c>
      <c r="B23" s="5">
        <f>SUM(Tasks!AE2:AE51)</f>
        <v/>
      </c>
    </row>
    <row r="24">
      <c r="A24" s="5" t="inlineStr">
        <is>
          <t>Empty-context share</t>
        </is>
      </c>
      <c r="B24" s="6">
        <f>B23/B22</f>
        <v/>
      </c>
      <c r="C24" t="inlineStr">
        <is>
          <t>Platform-wide since 08-26 the rate is 12% for files under 1MB, rising to 38% for files over 6MB.</t>
        </is>
      </c>
    </row>
    <row r="25">
      <c r="A25" s="5" t="inlineStr">
        <is>
          <t>Tasks whose first run was empty and second run succeeded</t>
        </is>
      </c>
      <c r="B25" s="5">
        <f>COUNTIFS(Tasks!AE2:AE51,1,Tasks!AD2:AD51,2,Tasks!P2:P51,TRUE)</f>
        <v/>
      </c>
      <c r="C25" t="inlineStr">
        <is>
          <t>The retry worked for these. The failure is intermittent for normal-sized files.</t>
        </is>
      </c>
    </row>
    <row r="27">
      <c r="A27" s="3" t="inlineStr">
        <is>
          <t>Decomper</t>
        </is>
      </c>
      <c r="B27" s="3" t="inlineStr">
        <is>
          <t>Tasks in queue</t>
        </is>
      </c>
      <c r="C27" s="3" t="inlineStr">
        <is>
          <t>With outline</t>
        </is>
      </c>
      <c r="D27" s="3" t="inlineStr">
        <is>
          <t>Approve</t>
        </is>
      </c>
      <c r="E27" s="3" t="inlineStr">
        <is>
          <t>Avg unique formulas</t>
        </is>
      </c>
      <c r="F27" s="3" t="inlineStr">
        <is>
          <t>Too-easy prior (60d)</t>
        </is>
      </c>
    </row>
    <row r="28">
      <c r="A28" s="5" t="inlineStr">
        <is>
          <t>wangche2532@gmail.com</t>
        </is>
      </c>
      <c r="B28" s="5">
        <f>COUNTIF(Tasks!G2:G51,A28)</f>
        <v/>
      </c>
      <c r="C28" s="5">
        <f>COUNTIFS(Tasks!G2:G51,A28,Tasks!P2:P51,TRUE)</f>
        <v/>
      </c>
      <c r="D28" s="5">
        <f>COUNTIFS(Tasks!G2:G51,A28,Tasks!C2:C51,"APPROVE*")</f>
        <v/>
      </c>
      <c r="E28" s="7">
        <f>IFERROR(AVERAGEIF(Tasks!G2:G51,A28,Tasks!U2:U51),"-")</f>
        <v/>
      </c>
      <c r="F28" s="8" t="n">
        <v>0.857</v>
      </c>
    </row>
    <row r="29">
      <c r="A29" s="5" t="inlineStr">
        <is>
          <t>apathy@uchicago.edu</t>
        </is>
      </c>
      <c r="B29" s="5">
        <f>COUNTIF(Tasks!G2:G51,A29)</f>
        <v/>
      </c>
      <c r="C29" s="5">
        <f>COUNTIFS(Tasks!G2:G51,A29,Tasks!P2:P51,TRUE)</f>
        <v/>
      </c>
      <c r="D29" s="5">
        <f>COUNTIFS(Tasks!G2:G51,A29,Tasks!C2:C51,"APPROVE*")</f>
        <v/>
      </c>
      <c r="E29" s="7">
        <f>IFERROR(AVERAGEIF(Tasks!G2:G51,A29,Tasks!U2:U51),"-")</f>
        <v/>
      </c>
      <c r="F29" s="8" t="n">
        <v>0.556</v>
      </c>
    </row>
    <row r="30">
      <c r="A30" s="5" t="inlineStr">
        <is>
          <t>mshuriah2702@gmail.com</t>
        </is>
      </c>
      <c r="B30" s="5">
        <f>COUNTIF(Tasks!G2:G51,A30)</f>
        <v/>
      </c>
      <c r="C30" s="5">
        <f>COUNTIFS(Tasks!G2:G51,A30,Tasks!P2:P51,TRUE)</f>
        <v/>
      </c>
      <c r="D30" s="5">
        <f>COUNTIFS(Tasks!G2:G51,A30,Tasks!C2:C51,"APPROVE*")</f>
        <v/>
      </c>
      <c r="E30" s="7">
        <f>IFERROR(AVERAGEIF(Tasks!G2:G51,A30,Tasks!U2:U51),"-")</f>
        <v/>
      </c>
      <c r="F30" s="8" t="n">
        <v>1</v>
      </c>
    </row>
    <row r="31">
      <c r="A31" s="5" t="inlineStr">
        <is>
          <t>alec.tseung@toptal.com</t>
        </is>
      </c>
      <c r="B31" s="5">
        <f>COUNTIF(Tasks!G2:G51,A31)</f>
        <v/>
      </c>
      <c r="C31" s="5">
        <f>COUNTIFS(Tasks!G2:G51,A31,Tasks!P2:P51,TRUE)</f>
        <v/>
      </c>
      <c r="D31" s="5">
        <f>COUNTIFS(Tasks!G2:G51,A31,Tasks!C2:C51,"APPROVE*")</f>
        <v/>
      </c>
      <c r="E31" s="7">
        <f>IFERROR(AVERAGEIF(Tasks!G2:G51,A31,Tasks!U2:U51),"-")</f>
        <v/>
      </c>
      <c r="F31" s="8" t="inlineStr">
        <is>
          <t>no data</t>
        </is>
      </c>
    </row>
    <row r="32">
      <c r="A32" s="5" t="inlineStr">
        <is>
          <t>infinitearbitrage@gmail.com</t>
        </is>
      </c>
      <c r="B32" s="5">
        <f>COUNTIF(Tasks!G2:G51,A32)</f>
        <v/>
      </c>
      <c r="C32" s="5">
        <f>COUNTIFS(Tasks!G2:G51,A32,Tasks!P2:P51,TRUE)</f>
        <v/>
      </c>
      <c r="D32" s="5">
        <f>COUNTIFS(Tasks!G2:G51,A32,Tasks!C2:C51,"APPROVE*")</f>
        <v/>
      </c>
      <c r="E32" s="7">
        <f>IFERROR(AVERAGEIF(Tasks!G2:G51,A32,Tasks!U2:U51),"-")</f>
        <v/>
      </c>
      <c r="F32" s="8" t="n">
        <v>0.875</v>
      </c>
    </row>
    <row r="33">
      <c r="A33" s="5" t="inlineStr">
        <is>
          <t>nimisha.mekala2021@gmail.com</t>
        </is>
      </c>
      <c r="B33" s="5">
        <f>COUNTIF(Tasks!G2:G51,A33)</f>
        <v/>
      </c>
      <c r="C33" s="5">
        <f>COUNTIFS(Tasks!G2:G51,A33,Tasks!P2:P51,TRUE)</f>
        <v/>
      </c>
      <c r="D33" s="5">
        <f>COUNTIFS(Tasks!G2:G51,A33,Tasks!C2:C51,"APPROVE*")</f>
        <v/>
      </c>
      <c r="E33" s="7">
        <f>IFERROR(AVERAGEIF(Tasks!G2:G51,A33,Tasks!U2:U51),"-")</f>
        <v/>
      </c>
      <c r="F33" s="8" t="n">
        <v>1</v>
      </c>
    </row>
    <row r="34">
      <c r="A34" s="5" t="inlineStr">
        <is>
          <t>sophie.xiao@toptal.com</t>
        </is>
      </c>
      <c r="B34" s="5">
        <f>COUNTIF(Tasks!G2:G51,A34)</f>
        <v/>
      </c>
      <c r="C34" s="5">
        <f>COUNTIFS(Tasks!G2:G51,A34,Tasks!P2:P51,TRUE)</f>
        <v/>
      </c>
      <c r="D34" s="5">
        <f>COUNTIFS(Tasks!G2:G51,A34,Tasks!C2:C51,"APPROVE*")</f>
        <v/>
      </c>
      <c r="E34" s="7">
        <f>IFERROR(AVERAGEIF(Tasks!G2:G51,A34,Tasks!U2:U51),"-")</f>
        <v/>
      </c>
      <c r="F34" s="8" t="n">
        <v>0</v>
      </c>
    </row>
    <row r="35">
      <c r="A35" s="2" t="inlineStr">
        <is>
          <t>Too-easy prior = share of the decomper's SOTA-scored sheets tasks (last 60 days) bucketed Foundational or Intermediate. Hardcoded from sota_priors.md.</t>
        </is>
      </c>
    </row>
    <row r="37">
      <c r="A37" s="3" t="inlineStr">
        <is>
          <t>What happened today (UTC)</t>
        </is>
      </c>
      <c r="B37" s="3" t="inlineStr"/>
      <c r="C37" s="3" t="inlineStr"/>
    </row>
    <row r="38">
      <c r="A38" s="5" t="inlineStr">
        <is>
          <t>21:58-23:00  ali@meridian.ai pushed the 40 leftover tasks (32 no-outline + 8 thin/truncated) back through generating_outline via ADMIN_OVERRIDE.</t>
        </is>
      </c>
    </row>
    <row r="39">
      <c r="A39" s="5" t="inlineStr">
        <is>
          <t xml:space="preserve">             The regeneration produced an outline for 34 of them. The 6 that still failed are the five &gt;4MB workbooks plus 25613ef5.</t>
        </is>
      </c>
    </row>
    <row r="40">
      <c r="A40" s="5" t="inlineStr">
        <is>
          <t>22:45-00:03  7 new tasks arrived from decompers (a0b42bc7, f09e7718, fdfd6024, d75d1c87, 8f99bcd7, f3efbb17, 437756ce). All but 437756ce have outlines.</t>
        </is>
      </c>
    </row>
    <row r="41">
      <c r="A41" s="5" t="inlineStr">
        <is>
          <t>00:01        The 5 tasks parked in failed_generating_outline were overridden back to generating_outline; 3 (c4ed90cb, f925d988, 5961c436) came back with outlines by 00:08, 2 (9f656c96, 4c77fbdb) were still running.</t>
        </is>
      </c>
    </row>
    <row r="42">
      <c r="A42" s="5" t="inlineStr">
        <is>
          <t>23:24-23:26  The 133 tasks approved earlier left the queue. 14 of them failed prompt generation within 5 minutes (11% vs a 0.5-2% daily norm); release the next batch in groups of about 20.</t>
        </is>
      </c>
    </row>
    <row r="43">
      <c r="A43" s="5" t="inlineStr">
        <is>
          <t>Every one of the 45 tasks sits at "generating_outline -&gt; decomp_review (SUBMIT_TASK_OUTLINE)" as its last transition. Nobody has reviewed them; the pool is disabled for this state.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52" customWidth="1" min="3" max="3"/>
    <col width="60" customWidth="1" min="4" max="4"/>
    <col width="46" customWidth="1" min="5" max="5"/>
    <col width="22" customWidth="1" min="6" max="6"/>
    <col width="26" customWidth="1" min="7" max="7"/>
    <col width="11" customWidth="1" min="8" max="8"/>
    <col width="10" customWidth="1" min="9" max="9"/>
    <col width="20" customWidth="1" min="10" max="10"/>
    <col width="8" customWidth="1" min="11" max="11"/>
    <col width="9" customWidth="1" min="12" max="12"/>
    <col width="10" customWidth="1" min="13" max="13"/>
    <col width="9" customWidth="1" min="14" max="14"/>
    <col width="22" customWidth="1" min="15" max="15"/>
    <col width="8" customWidth="1" min="16" max="16"/>
    <col width="10" customWidth="1" min="17" max="17"/>
    <col width="12" customWidth="1" min="18" max="18"/>
    <col width="8" customWidth="1" min="19" max="19"/>
    <col width="10" customWidth="1" min="20" max="20"/>
    <col width="10" customWidth="1" min="21" max="21"/>
    <col width="7" customWidth="1" min="22" max="22"/>
    <col width="30" customWidth="1" min="23" max="23"/>
    <col width="8" customWidth="1" min="24" max="24"/>
    <col width="30" customWidth="1" min="25" max="25"/>
    <col width="8" customWidth="1" min="26" max="26"/>
    <col width="9" customWidth="1" min="27" max="27"/>
    <col width="10" customWidth="1" min="28" max="28"/>
    <col width="8" customWidth="1" min="29" max="29"/>
    <col width="7" customWidth="1" min="30" max="30"/>
    <col width="8" customWidth="1" min="31" max="31"/>
    <col width="10" customWidth="1" min="32" max="32"/>
    <col width="11" customWidth="1" min="33" max="33"/>
    <col width="11" customWidth="1" min="34" max="34"/>
    <col width="30" customWidth="1" min="35" max="35"/>
    <col width="38" customWidth="1" min="36" max="36"/>
    <col width="38" customWidth="1" min="37" max="37"/>
  </cols>
  <sheetData>
    <row r="1">
      <c r="A1" s="9" t="inlineStr">
        <is>
          <t>Task</t>
        </is>
      </c>
      <c r="B1" s="9" t="inlineStr">
        <is>
          <t>Diagnosis</t>
        </is>
      </c>
      <c r="C1" s="9" t="inlineStr">
        <is>
          <t>Recommended action</t>
        </is>
      </c>
      <c r="D1" s="9" t="inlineStr">
        <is>
          <t>Quality flags (from reading the outline)</t>
        </is>
      </c>
      <c r="E1" s="9" t="inlineStr">
        <is>
          <t>Evidence</t>
        </is>
      </c>
      <c r="F1" s="9" t="inlineStr">
        <is>
          <t>Bucket in 09-01 triage</t>
        </is>
      </c>
      <c r="G1" s="9" t="inlineStr">
        <is>
          <t>Decomper</t>
        </is>
      </c>
      <c r="H1" s="9" t="inlineStr">
        <is>
          <t>Decomper too-easy prior</t>
        </is>
      </c>
      <c r="I1" s="9" t="inlineStr">
        <is>
          <t>Decomper SOTA-scored (n)</t>
        </is>
      </c>
      <c r="J1" s="9" t="inlineStr">
        <is>
          <t>Entered decomp_review (UTC)</t>
        </is>
      </c>
      <c r="K1" s="9" t="inlineStr">
        <is>
          <t>Days waiting</t>
        </is>
      </c>
      <c r="L1" s="9" t="inlineStr">
        <is>
          <t>decomp_review visits</t>
        </is>
      </c>
      <c r="M1" s="9" t="inlineStr">
        <is>
          <t>Outline generations</t>
        </is>
      </c>
      <c r="N1" s="9" t="inlineStr">
        <is>
          <t>Admin overrides</t>
        </is>
      </c>
      <c r="O1" s="9" t="inlineStr">
        <is>
          <t>Override by</t>
        </is>
      </c>
      <c r="P1" s="9" t="inlineStr">
        <is>
          <t>Has outline</t>
        </is>
      </c>
      <c r="Q1" s="9" t="inlineStr">
        <is>
          <t>Outline chars (now)</t>
        </is>
      </c>
      <c r="R1" s="9" t="inlineStr">
        <is>
          <t>Outline chars (09-01 snapshot)</t>
        </is>
      </c>
      <c r="S1" s="9" t="inlineStr">
        <is>
          <t>Bullets</t>
        </is>
      </c>
      <c r="T1" s="9" t="inlineStr">
        <is>
          <t>Transition chars</t>
        </is>
      </c>
      <c r="U1" s="9" t="inlineStr">
        <is>
          <t>Unique formulas</t>
        </is>
      </c>
      <c r="V1" s="9" t="inlineStr">
        <is>
          <t>Is clone</t>
        </is>
      </c>
      <c r="W1" s="9" t="inlineStr">
        <is>
          <t>Input workbook</t>
        </is>
      </c>
      <c r="X1" s="9" t="inlineStr">
        <is>
          <t>Input KB</t>
        </is>
      </c>
      <c r="Y1" s="9" t="inlineStr">
        <is>
          <t>Output workbook</t>
        </is>
      </c>
      <c r="Z1" s="9" t="inlineStr">
        <is>
          <t>Output KB</t>
        </is>
      </c>
      <c r="AA1" s="9" t="inlineStr">
        <is>
          <t>Largest file &gt; 4MB</t>
        </is>
      </c>
      <c r="AB1" s="9" t="inlineStr">
        <is>
          <t>Output smaller than input</t>
        </is>
      </c>
      <c r="AC1" s="9" t="inlineStr">
        <is>
          <t>Files identical</t>
        </is>
      </c>
      <c r="AD1" s="9" t="inlineStr">
        <is>
          <t>Agent runs</t>
        </is>
      </c>
      <c r="AE1" s="9" t="inlineStr">
        <is>
          <t>Empty-context runs</t>
        </is>
      </c>
      <c r="AF1" s="9" t="inlineStr">
        <is>
          <t>Last run status</t>
        </is>
      </c>
      <c r="AG1" s="9" t="inlineStr">
        <is>
          <t>Last run input tokens</t>
        </is>
      </c>
      <c r="AH1" s="9" t="inlineStr">
        <is>
          <t>Last run output tokens</t>
        </is>
      </c>
      <c r="AI1" s="9" t="inlineStr">
        <is>
          <t>Source file (decomper upload)</t>
        </is>
      </c>
      <c r="AJ1" s="9" t="inlineStr">
        <is>
          <t>Cloned from task</t>
        </is>
      </c>
      <c r="AK1" s="9" t="inlineStr">
        <is>
          <t>Task ID</t>
        </is>
      </c>
    </row>
    <row r="2" ht="78" customHeight="1">
      <c r="A2" s="10" t="inlineStr">
        <is>
          <t>7215fd35</t>
        </is>
      </c>
      <c r="B2" s="11" t="inlineStr">
        <is>
          <t>NO OUTLINE - agent ran with empty context on every attempt</t>
        </is>
      </c>
      <c r="C2" s="11" t="inlineStr">
        <is>
          <t>HOLD. Do not re-run. Workbook is over 4MB and has failed 2 of 2 runs (5,38x input tokens = workbook never loaded). Needs an engineering fix to the outline agent, or a manual outline.</t>
        </is>
      </c>
      <c r="D2" s="12" t="inlineStr"/>
      <c r="E2" s="12" t="inlineStr">
        <is>
          <t>2 agent runs, 2 with empty context (last run: 5384 in / 1 out). Workbooks 4614KB in / 6416KB out.</t>
        </is>
      </c>
      <c r="F2" s="13" t="inlineStr">
        <is>
          <t>A1_no_outline</t>
        </is>
      </c>
      <c r="G2" s="12" t="inlineStr">
        <is>
          <t>alec.tseung@toptal.com</t>
        </is>
      </c>
      <c r="H2" s="14" t="n"/>
      <c r="I2" s="13" t="n">
        <v>0</v>
      </c>
      <c r="J2" s="15" t="n">
        <v>46266.91558577546</v>
      </c>
      <c r="K2" s="16" t="n">
        <v>0.1</v>
      </c>
      <c r="L2" s="13" t="n">
        <v>2</v>
      </c>
      <c r="M2" s="13" t="n">
        <v>2</v>
      </c>
      <c r="N2" s="13" t="n">
        <v>1</v>
      </c>
      <c r="O2" s="13" t="inlineStr">
        <is>
          <t>ali@meridian.ai</t>
        </is>
      </c>
      <c r="P2" s="13" t="b">
        <v>0</v>
      </c>
      <c r="Q2" s="13" t="n">
        <v>0</v>
      </c>
      <c r="R2" s="13" t="n"/>
      <c r="S2" s="13" t="n">
        <v>0</v>
      </c>
      <c r="T2" s="13" t="n">
        <v>226</v>
      </c>
      <c r="U2" s="13" t="n">
        <v>220747</v>
      </c>
      <c r="V2" s="13" t="b">
        <v>0</v>
      </c>
      <c r="W2" s="13" t="inlineStr">
        <is>
          <t>08.27_139_N-3.xlsx</t>
        </is>
      </c>
      <c r="X2" s="13" t="n">
        <v>4614</v>
      </c>
      <c r="Y2" s="13" t="inlineStr">
        <is>
          <t>08.27_139_N-2.xlsx</t>
        </is>
      </c>
      <c r="Z2" s="13" t="n">
        <v>6417</v>
      </c>
      <c r="AA2" s="13" t="b">
        <v>1</v>
      </c>
      <c r="AB2" s="13" t="b">
        <v>0</v>
      </c>
      <c r="AC2" s="13" t="b">
        <v>0</v>
      </c>
      <c r="AD2" s="13" t="n">
        <v>2</v>
      </c>
      <c r="AE2" s="13" t="n">
        <v>2</v>
      </c>
      <c r="AF2" s="13" t="inlineStr">
        <is>
          <t>completed</t>
        </is>
      </c>
      <c r="AG2" s="17" t="n">
        <v>5384</v>
      </c>
      <c r="AH2" s="17" t="n">
        <v>1</v>
      </c>
      <c r="AI2" s="13" t="inlineStr"/>
      <c r="AJ2" s="13" t="inlineStr"/>
      <c r="AK2" s="13" t="inlineStr">
        <is>
          <t>7215fd35-f477-44af-b6f1-b38348ebe264</t>
        </is>
      </c>
    </row>
    <row r="3" ht="78" customHeight="1">
      <c r="A3" s="10" t="inlineStr">
        <is>
          <t>3d3b229e</t>
        </is>
      </c>
      <c r="B3" s="11" t="inlineStr">
        <is>
          <t>NO OUTLINE - agent ran with empty context on every attempt</t>
        </is>
      </c>
      <c r="C3" s="11" t="inlineStr">
        <is>
          <t>HOLD. Do not re-run. Workbook is over 4MB and has failed 2 of 2 runs (5,38x input tokens = workbook never loaded). Needs an engineering fix to the outline agent, or a manual outline.</t>
        </is>
      </c>
      <c r="D3" s="12" t="inlineStr"/>
      <c r="E3" s="12" t="inlineStr">
        <is>
          <t>2 agent runs, 2 with empty context (last run: 5387 in / 7 out). Workbooks 4161KB in / 4446KB out.</t>
        </is>
      </c>
      <c r="F3" s="13" t="inlineStr">
        <is>
          <t>A1_no_outline</t>
        </is>
      </c>
      <c r="G3" s="12" t="inlineStr">
        <is>
          <t>alec.tseung@toptal.com</t>
        </is>
      </c>
      <c r="H3" s="14" t="n"/>
      <c r="I3" s="13" t="n">
        <v>0</v>
      </c>
      <c r="J3" s="15" t="n">
        <v>46266.91763118056</v>
      </c>
      <c r="K3" s="16" t="n">
        <v>0.1</v>
      </c>
      <c r="L3" s="13" t="n">
        <v>2</v>
      </c>
      <c r="M3" s="13" t="n">
        <v>2</v>
      </c>
      <c r="N3" s="13" t="n">
        <v>1</v>
      </c>
      <c r="O3" s="13" t="inlineStr">
        <is>
          <t>ali@meridian.ai</t>
        </is>
      </c>
      <c r="P3" s="13" t="b">
        <v>0</v>
      </c>
      <c r="Q3" s="13" t="n">
        <v>0</v>
      </c>
      <c r="R3" s="13" t="n"/>
      <c r="S3" s="13" t="n">
        <v>0</v>
      </c>
      <c r="T3" s="13" t="n">
        <v>42</v>
      </c>
      <c r="U3" s="13" t="n">
        <v>22547</v>
      </c>
      <c r="V3" s="13" t="b">
        <v>0</v>
      </c>
      <c r="W3" s="13" t="inlineStr">
        <is>
          <t>08.27_139_N-5.xlsx</t>
        </is>
      </c>
      <c r="X3" s="13" t="n">
        <v>4162</v>
      </c>
      <c r="Y3" s="13" t="inlineStr">
        <is>
          <t>08.27_139_N-4.xlsx</t>
        </is>
      </c>
      <c r="Z3" s="13" t="n">
        <v>4446</v>
      </c>
      <c r="AA3" s="13" t="b">
        <v>1</v>
      </c>
      <c r="AB3" s="13" t="b">
        <v>0</v>
      </c>
      <c r="AC3" s="13" t="b">
        <v>0</v>
      </c>
      <c r="AD3" s="13" t="n">
        <v>2</v>
      </c>
      <c r="AE3" s="13" t="n">
        <v>2</v>
      </c>
      <c r="AF3" s="13" t="inlineStr">
        <is>
          <t>completed</t>
        </is>
      </c>
      <c r="AG3" s="17" t="n">
        <v>5387</v>
      </c>
      <c r="AH3" s="17" t="n">
        <v>7</v>
      </c>
      <c r="AI3" s="13" t="inlineStr"/>
      <c r="AJ3" s="13" t="inlineStr"/>
      <c r="AK3" s="13" t="inlineStr">
        <is>
          <t>3d3b229e-0507-4539-8343-193a679d5f5c</t>
        </is>
      </c>
    </row>
    <row r="4" ht="78" customHeight="1">
      <c r="A4" s="10" t="inlineStr">
        <is>
          <t>337252e6</t>
        </is>
      </c>
      <c r="B4" s="11" t="inlineStr">
        <is>
          <t>NO OUTLINE - agent ran with empty context on every attempt</t>
        </is>
      </c>
      <c r="C4" s="11" t="inlineStr">
        <is>
          <t>HOLD. Do not re-run. Workbook is over 4MB and has failed 2 of 2 runs (5,38x input tokens = workbook never loaded). Needs an engineering fix to the outline agent, or a manual outline.</t>
        </is>
      </c>
      <c r="D4" s="12" t="inlineStr"/>
      <c r="E4" s="12" t="inlineStr">
        <is>
          <t>2 agent runs, 2 with empty context (last run: 5387 in / 1 out). Workbooks 6416KB in / 6852KB out.</t>
        </is>
      </c>
      <c r="F4" s="13" t="inlineStr">
        <is>
          <t>A1_no_outline</t>
        </is>
      </c>
      <c r="G4" s="12" t="inlineStr">
        <is>
          <t>alec.tseung@toptal.com</t>
        </is>
      </c>
      <c r="H4" s="14" t="n"/>
      <c r="I4" s="13" t="n">
        <v>0</v>
      </c>
      <c r="J4" s="15" t="n">
        <v>46266.92545836805</v>
      </c>
      <c r="K4" s="16" t="n">
        <v>0.1</v>
      </c>
      <c r="L4" s="13" t="n">
        <v>2</v>
      </c>
      <c r="M4" s="13" t="n">
        <v>2</v>
      </c>
      <c r="N4" s="13" t="n">
        <v>1</v>
      </c>
      <c r="O4" s="13" t="inlineStr">
        <is>
          <t>ali@meridian.ai</t>
        </is>
      </c>
      <c r="P4" s="13" t="b">
        <v>0</v>
      </c>
      <c r="Q4" s="13" t="n">
        <v>0</v>
      </c>
      <c r="R4" s="13" t="n"/>
      <c r="S4" s="13" t="n">
        <v>0</v>
      </c>
      <c r="T4" s="13" t="n">
        <v>61</v>
      </c>
      <c r="U4" s="13" t="n">
        <v>17725</v>
      </c>
      <c r="V4" s="13" t="b">
        <v>0</v>
      </c>
      <c r="W4" s="13" t="inlineStr">
        <is>
          <t>08.27_139_N-2.xlsx</t>
        </is>
      </c>
      <c r="X4" s="13" t="n">
        <v>6417</v>
      </c>
      <c r="Y4" s="13" t="inlineStr">
        <is>
          <t>08.27_139_N-1.xlsx</t>
        </is>
      </c>
      <c r="Z4" s="13" t="n">
        <v>6852</v>
      </c>
      <c r="AA4" s="13" t="b">
        <v>1</v>
      </c>
      <c r="AB4" s="13" t="b">
        <v>0</v>
      </c>
      <c r="AC4" s="13" t="b">
        <v>0</v>
      </c>
      <c r="AD4" s="13" t="n">
        <v>2</v>
      </c>
      <c r="AE4" s="13" t="n">
        <v>2</v>
      </c>
      <c r="AF4" s="13" t="inlineStr">
        <is>
          <t>completed</t>
        </is>
      </c>
      <c r="AG4" s="17" t="n">
        <v>5387</v>
      </c>
      <c r="AH4" s="17" t="n">
        <v>1</v>
      </c>
      <c r="AI4" s="13" t="inlineStr"/>
      <c r="AJ4" s="13" t="inlineStr"/>
      <c r="AK4" s="13" t="inlineStr">
        <is>
          <t>337252e6-80dc-4b36-b284-7b83b4e5617f</t>
        </is>
      </c>
    </row>
    <row r="5" ht="78" customHeight="1">
      <c r="A5" s="10" t="inlineStr">
        <is>
          <t>8a8066ff</t>
        </is>
      </c>
      <c r="B5" s="11" t="inlineStr">
        <is>
          <t>NO OUTLINE - agent ran with empty context on every attempt</t>
        </is>
      </c>
      <c r="C5" s="11" t="inlineStr">
        <is>
          <t>HOLD. Do not re-run. Workbook is over 4MB and has failed 2 of 2 runs (5,38x input tokens = workbook never loaded). Needs an engineering fix to the outline agent, or a manual outline.</t>
        </is>
      </c>
      <c r="D5" s="12" t="inlineStr"/>
      <c r="E5" s="12" t="inlineStr">
        <is>
          <t>2 agent runs, 2 with empty context (last run: 5390 in / 5 out). Workbooks 4446KB in / 4614KB out.</t>
        </is>
      </c>
      <c r="F5" s="13" t="inlineStr">
        <is>
          <t>A1_no_outline</t>
        </is>
      </c>
      <c r="G5" s="12" t="inlineStr">
        <is>
          <t>alec.tseung@toptal.com</t>
        </is>
      </c>
      <c r="H5" s="14" t="n"/>
      <c r="I5" s="13" t="n">
        <v>0</v>
      </c>
      <c r="J5" s="15" t="n">
        <v>46266.92216421296</v>
      </c>
      <c r="K5" s="16" t="n">
        <v>0.1</v>
      </c>
      <c r="L5" s="13" t="n">
        <v>2</v>
      </c>
      <c r="M5" s="13" t="n">
        <v>2</v>
      </c>
      <c r="N5" s="13" t="n">
        <v>1</v>
      </c>
      <c r="O5" s="13" t="inlineStr">
        <is>
          <t>ali@meridian.ai</t>
        </is>
      </c>
      <c r="P5" s="13" t="b">
        <v>0</v>
      </c>
      <c r="Q5" s="13" t="n">
        <v>0</v>
      </c>
      <c r="R5" s="13" t="n"/>
      <c r="S5" s="13" t="n">
        <v>0</v>
      </c>
      <c r="T5" s="13" t="n">
        <v>152</v>
      </c>
      <c r="U5" s="13" t="n">
        <v>14594</v>
      </c>
      <c r="V5" s="13" t="b">
        <v>0</v>
      </c>
      <c r="W5" s="13" t="inlineStr">
        <is>
          <t>08.27_139_N-4.xlsx</t>
        </is>
      </c>
      <c r="X5" s="13" t="n">
        <v>4446</v>
      </c>
      <c r="Y5" s="13" t="inlineStr">
        <is>
          <t>08.27_139_N-3.xlsx</t>
        </is>
      </c>
      <c r="Z5" s="13" t="n">
        <v>4614</v>
      </c>
      <c r="AA5" s="13" t="b">
        <v>1</v>
      </c>
      <c r="AB5" s="13" t="b">
        <v>0</v>
      </c>
      <c r="AC5" s="13" t="b">
        <v>0</v>
      </c>
      <c r="AD5" s="13" t="n">
        <v>2</v>
      </c>
      <c r="AE5" s="13" t="n">
        <v>2</v>
      </c>
      <c r="AF5" s="13" t="inlineStr">
        <is>
          <t>completed</t>
        </is>
      </c>
      <c r="AG5" s="17" t="n">
        <v>5390</v>
      </c>
      <c r="AH5" s="17" t="n">
        <v>5</v>
      </c>
      <c r="AI5" s="13" t="inlineStr"/>
      <c r="AJ5" s="13" t="inlineStr"/>
      <c r="AK5" s="13" t="inlineStr">
        <is>
          <t>8a8066ff-7624-4fc5-981f-52a666b28967</t>
        </is>
      </c>
    </row>
    <row r="6" ht="78" customHeight="1">
      <c r="A6" s="10" t="inlineStr">
        <is>
          <t>906892cf</t>
        </is>
      </c>
      <c r="B6" s="11" t="inlineStr">
        <is>
          <t>NO OUTLINE - agent ran with empty context on every attempt</t>
        </is>
      </c>
      <c r="C6" s="11" t="inlineStr">
        <is>
          <t>HOLD. Do not re-run. Workbook is over 4MB and has failed 2 of 2 runs (5,38x input tokens = workbook never loaded). Needs an engineering fix to the outline agent, or a manual outline.</t>
        </is>
      </c>
      <c r="D6" s="12" t="inlineStr"/>
      <c r="E6" s="12" t="inlineStr">
        <is>
          <t>2 agent runs, 2 with empty context (last run: 5386 in / 4 out). Workbooks 7602KB in / 7681KB out.</t>
        </is>
      </c>
      <c r="F6" s="13" t="inlineStr">
        <is>
          <t>A1_no_outline</t>
        </is>
      </c>
      <c r="G6" s="12" t="inlineStr">
        <is>
          <t>infinitearbitrage@gmail.com</t>
        </is>
      </c>
      <c r="H6" s="14" t="n">
        <v>0.875</v>
      </c>
      <c r="I6" s="13" t="n">
        <v>16</v>
      </c>
      <c r="J6" s="15" t="n">
        <v>46266.9175590162</v>
      </c>
      <c r="K6" s="16" t="n">
        <v>0.1</v>
      </c>
      <c r="L6" s="13" t="n">
        <v>2</v>
      </c>
      <c r="M6" s="13" t="n">
        <v>2</v>
      </c>
      <c r="N6" s="13" t="n">
        <v>1</v>
      </c>
      <c r="O6" s="13" t="inlineStr">
        <is>
          <t>ali@meridian.ai</t>
        </is>
      </c>
      <c r="P6" s="13" t="b">
        <v>0</v>
      </c>
      <c r="Q6" s="13" t="n">
        <v>0</v>
      </c>
      <c r="R6" s="13" t="n"/>
      <c r="S6" s="13" t="n">
        <v>0</v>
      </c>
      <c r="T6" s="13" t="n">
        <v>91</v>
      </c>
      <c r="U6" s="13" t="n">
        <v>1847</v>
      </c>
      <c r="V6" s="13" t="b">
        <v>0</v>
      </c>
      <c r="W6" s="13" t="inlineStr">
        <is>
          <t>08.29_117 N-5.xlsx</t>
        </is>
      </c>
      <c r="X6" s="13" t="n">
        <v>7602</v>
      </c>
      <c r="Y6" s="13" t="inlineStr">
        <is>
          <t>08.29_117 N-4.xlsx</t>
        </is>
      </c>
      <c r="Z6" s="13" t="n">
        <v>7682</v>
      </c>
      <c r="AA6" s="13" t="b">
        <v>1</v>
      </c>
      <c r="AB6" s="13" t="b">
        <v>0</v>
      </c>
      <c r="AC6" s="13" t="b">
        <v>0</v>
      </c>
      <c r="AD6" s="13" t="n">
        <v>2</v>
      </c>
      <c r="AE6" s="13" t="n">
        <v>2</v>
      </c>
      <c r="AF6" s="13" t="inlineStr">
        <is>
          <t>completed</t>
        </is>
      </c>
      <c r="AG6" s="17" t="n">
        <v>5386</v>
      </c>
      <c r="AH6" s="17" t="n">
        <v>4</v>
      </c>
      <c r="AI6" s="13" t="inlineStr"/>
      <c r="AJ6" s="13" t="inlineStr"/>
      <c r="AK6" s="13" t="inlineStr">
        <is>
          <t>906892cf-1049-4c2d-99ef-404e461c776f</t>
        </is>
      </c>
    </row>
    <row r="7" ht="78" customHeight="1">
      <c r="A7" s="18" t="inlineStr">
        <is>
          <t>25613ef5</t>
        </is>
      </c>
      <c r="B7" s="19" t="inlineStr">
        <is>
          <t>NO OUTLINE - agent ran with empty context on every attempt</t>
        </is>
      </c>
      <c r="C7" s="19" t="inlineStr">
        <is>
          <t>Regenerate outline once more. File is small (405KB / 481KB) and has had 2 empty run(s); if it keeps failing treat like the large-file cases.</t>
        </is>
      </c>
      <c r="D7" s="12" t="inlineStr"/>
      <c r="E7" s="12" t="inlineStr">
        <is>
          <t>2 agent runs, 2 with empty context (last run: 5391 in / 4 out). Workbooks 405KB in / 481KB out.</t>
        </is>
      </c>
      <c r="F7" s="13" t="inlineStr">
        <is>
          <t>A1_no_outline</t>
        </is>
      </c>
      <c r="G7" s="12" t="inlineStr">
        <is>
          <t>wangche2532@gmail.com</t>
        </is>
      </c>
      <c r="H7" s="14" t="n">
        <v>0.857</v>
      </c>
      <c r="I7" s="13" t="n">
        <v>28</v>
      </c>
      <c r="J7" s="15" t="n">
        <v>46266.92462068287</v>
      </c>
      <c r="K7" s="16" t="n">
        <v>0.1</v>
      </c>
      <c r="L7" s="13" t="n">
        <v>2</v>
      </c>
      <c r="M7" s="13" t="n">
        <v>2</v>
      </c>
      <c r="N7" s="13" t="n">
        <v>1</v>
      </c>
      <c r="O7" s="13" t="inlineStr">
        <is>
          <t>ali@meridian.ai</t>
        </is>
      </c>
      <c r="P7" s="13" t="b">
        <v>0</v>
      </c>
      <c r="Q7" s="13" t="n">
        <v>0</v>
      </c>
      <c r="R7" s="13" t="n"/>
      <c r="S7" s="13" t="n">
        <v>0</v>
      </c>
      <c r="T7" s="13" t="n">
        <v>196</v>
      </c>
      <c r="U7" s="13" t="n">
        <v>8528</v>
      </c>
      <c r="V7" s="13" t="b">
        <v>0</v>
      </c>
      <c r="W7" s="13" t="inlineStr">
        <is>
          <t>08.30_48 N-6.xlsx</t>
        </is>
      </c>
      <c r="X7" s="13" t="n">
        <v>406</v>
      </c>
      <c r="Y7" s="13" t="inlineStr">
        <is>
          <t>08.30_48 N-5.xlsx</t>
        </is>
      </c>
      <c r="Z7" s="13" t="n">
        <v>481</v>
      </c>
      <c r="AA7" s="13" t="b">
        <v>0</v>
      </c>
      <c r="AB7" s="13" t="b">
        <v>0</v>
      </c>
      <c r="AC7" s="13" t="b">
        <v>0</v>
      </c>
      <c r="AD7" s="13" t="n">
        <v>2</v>
      </c>
      <c r="AE7" s="13" t="n">
        <v>2</v>
      </c>
      <c r="AF7" s="13" t="inlineStr">
        <is>
          <t>completed</t>
        </is>
      </c>
      <c r="AG7" s="17" t="n">
        <v>5391</v>
      </c>
      <c r="AH7" s="17" t="n">
        <v>4</v>
      </c>
      <c r="AI7" s="13" t="inlineStr"/>
      <c r="AJ7" s="13" t="inlineStr"/>
      <c r="AK7" s="13" t="inlineStr">
        <is>
          <t>25613ef5-50aa-4ab2-b49a-4ea4b4dc519a</t>
        </is>
      </c>
    </row>
    <row r="8" ht="78" customHeight="1">
      <c r="A8" s="18" t="inlineStr">
        <is>
          <t>437756ce</t>
        </is>
      </c>
      <c r="B8" s="19" t="inlineStr">
        <is>
          <t>NO OUTLINE - agent ran with empty context on every attempt</t>
        </is>
      </c>
      <c r="C8" s="19" t="inlineStr">
        <is>
          <t>Regenerate outline once more. File is small (249KB / 259KB) and has had 1 empty run(s); if it keeps failing treat like the large-file cases.</t>
        </is>
      </c>
      <c r="D8" s="12" t="inlineStr"/>
      <c r="E8" s="12" t="inlineStr">
        <is>
          <t>1 agent runs, 1 with empty context (last run: 5391 in / 1 out). Workbooks 249KB in / 259KB out.</t>
        </is>
      </c>
      <c r="F8" s="13" t="inlineStr">
        <is>
          <t>NEW (arrived after the triage snapshot)</t>
        </is>
      </c>
      <c r="G8" s="12" t="inlineStr">
        <is>
          <t>wangche2532@gmail.com</t>
        </is>
      </c>
      <c r="H8" s="14" t="n">
        <v>0.857</v>
      </c>
      <c r="I8" s="13" t="n">
        <v>28</v>
      </c>
      <c r="J8" s="15" t="n">
        <v>46267.00177064814</v>
      </c>
      <c r="K8" s="16" t="n">
        <v>0</v>
      </c>
      <c r="L8" s="13" t="n">
        <v>1</v>
      </c>
      <c r="M8" s="13" t="n">
        <v>1</v>
      </c>
      <c r="N8" s="13" t="n">
        <v>0</v>
      </c>
      <c r="O8" s="13" t="inlineStr"/>
      <c r="P8" s="13" t="b">
        <v>0</v>
      </c>
      <c r="Q8" s="13" t="n">
        <v>0</v>
      </c>
      <c r="R8" s="13" t="n"/>
      <c r="S8" s="13" t="n">
        <v>0</v>
      </c>
      <c r="T8" s="13" t="n">
        <v>117</v>
      </c>
      <c r="U8" s="13" t="n">
        <v>211</v>
      </c>
      <c r="V8" s="13" t="b">
        <v>0</v>
      </c>
      <c r="W8" s="13" t="inlineStr">
        <is>
          <t>08.31_47 N-2.xlsx</t>
        </is>
      </c>
      <c r="X8" s="13" t="n">
        <v>250</v>
      </c>
      <c r="Y8" s="13" t="inlineStr">
        <is>
          <t>08.31_47 N-1.xlsx</t>
        </is>
      </c>
      <c r="Z8" s="13" t="n">
        <v>260</v>
      </c>
      <c r="AA8" s="13" t="b">
        <v>0</v>
      </c>
      <c r="AB8" s="13" t="b">
        <v>0</v>
      </c>
      <c r="AC8" s="13" t="b">
        <v>0</v>
      </c>
      <c r="AD8" s="13" t="n">
        <v>1</v>
      </c>
      <c r="AE8" s="13" t="n">
        <v>1</v>
      </c>
      <c r="AF8" s="13" t="inlineStr">
        <is>
          <t>completed</t>
        </is>
      </c>
      <c r="AG8" s="17" t="n">
        <v>5391</v>
      </c>
      <c r="AH8" s="17" t="n">
        <v>1</v>
      </c>
      <c r="AI8" s="13" t="inlineStr"/>
      <c r="AJ8" s="13" t="inlineStr"/>
      <c r="AK8" s="13" t="inlineStr">
        <is>
          <t>437756ce-b81b-403d-8a2d-be439ba78b4a</t>
        </is>
      </c>
    </row>
    <row r="9" ht="78" customHeight="1">
      <c r="A9" s="20" t="inlineStr">
        <is>
          <t>a5f013b8</t>
        </is>
      </c>
      <c r="B9" s="21" t="inlineStr">
        <is>
          <t>Regenerated today - outline now present (first run was empty context, second run healthy)</t>
        </is>
      </c>
      <c r="C9" s="21" t="inlineStr">
        <is>
          <t>APPROVE to generating_prompt.</t>
        </is>
      </c>
      <c r="D9" s="12" t="inlineStr"/>
      <c r="E9" s="12" t="inlineStr">
        <is>
          <t>19 bullets, 12065 chars. Last run 1,689,428 in / 19,764 out.</t>
        </is>
      </c>
      <c r="F9" s="13" t="inlineStr">
        <is>
          <t>A1_no_outline</t>
        </is>
      </c>
      <c r="G9" s="12" t="inlineStr">
        <is>
          <t>apathy@uchicago.edu</t>
        </is>
      </c>
      <c r="H9" s="14" t="n">
        <v>0.556</v>
      </c>
      <c r="I9" s="13" t="n">
        <v>9</v>
      </c>
      <c r="J9" s="15" t="n">
        <v>46266.92340114583</v>
      </c>
      <c r="K9" s="16" t="n">
        <v>0.1</v>
      </c>
      <c r="L9" s="13" t="n">
        <v>2</v>
      </c>
      <c r="M9" s="13" t="n">
        <v>3</v>
      </c>
      <c r="N9" s="13" t="n">
        <v>1</v>
      </c>
      <c r="O9" s="13" t="inlineStr">
        <is>
          <t>ali@meridian.ai</t>
        </is>
      </c>
      <c r="P9" s="13" t="b">
        <v>1</v>
      </c>
      <c r="Q9" s="13" t="n">
        <v>12065</v>
      </c>
      <c r="R9" s="13" t="n"/>
      <c r="S9" s="13" t="n">
        <v>19</v>
      </c>
      <c r="T9" s="13" t="n">
        <v>172</v>
      </c>
      <c r="U9" s="13" t="n">
        <v>20166</v>
      </c>
      <c r="V9" s="13" t="b">
        <v>0</v>
      </c>
      <c r="W9" s="13" t="inlineStr">
        <is>
          <t>67a-N-3.xlsx</t>
        </is>
      </c>
      <c r="X9" s="13" t="n">
        <v>321</v>
      </c>
      <c r="Y9" s="13" t="inlineStr">
        <is>
          <t>67a-N-2.xlsx</t>
        </is>
      </c>
      <c r="Z9" s="13" t="n">
        <v>538</v>
      </c>
      <c r="AA9" s="13" t="b">
        <v>0</v>
      </c>
      <c r="AB9" s="13" t="b">
        <v>0</v>
      </c>
      <c r="AC9" s="13" t="b">
        <v>0</v>
      </c>
      <c r="AD9" s="13" t="n">
        <v>2</v>
      </c>
      <c r="AE9" s="13" t="n">
        <v>1</v>
      </c>
      <c r="AF9" s="13" t="inlineStr">
        <is>
          <t>completed</t>
        </is>
      </c>
      <c r="AG9" s="17" t="n">
        <v>1689428</v>
      </c>
      <c r="AH9" s="17" t="n">
        <v>19764</v>
      </c>
      <c r="AI9" s="13" t="inlineStr"/>
      <c r="AJ9" s="13" t="inlineStr"/>
      <c r="AK9" s="13" t="inlineStr">
        <is>
          <t>a5f013b8-ef14-4437-bea0-630504093c40</t>
        </is>
      </c>
    </row>
    <row r="10" ht="78" customHeight="1">
      <c r="A10" s="20" t="inlineStr">
        <is>
          <t>4f56a4bf</t>
        </is>
      </c>
      <c r="B10" s="21" t="inlineStr">
        <is>
          <t>Regenerated today - outline now present (first run was empty context, second run healthy)</t>
        </is>
      </c>
      <c r="C10" s="21" t="inlineStr">
        <is>
          <t>APPROVE to generating_prompt.</t>
        </is>
      </c>
      <c r="D10" s="12" t="inlineStr"/>
      <c r="E10" s="12" t="inlineStr">
        <is>
          <t>13 bullets, 13635 chars. Last run 1,787,806 in / 13,833 out.</t>
        </is>
      </c>
      <c r="F10" s="13" t="inlineStr">
        <is>
          <t>A1_no_outline</t>
        </is>
      </c>
      <c r="G10" s="12" t="inlineStr">
        <is>
          <t>apathy@uchicago.edu</t>
        </is>
      </c>
      <c r="H10" s="14" t="n">
        <v>0.556</v>
      </c>
      <c r="I10" s="13" t="n">
        <v>9</v>
      </c>
      <c r="J10" s="15" t="n">
        <v>46266.92336267361</v>
      </c>
      <c r="K10" s="16" t="n">
        <v>0.1</v>
      </c>
      <c r="L10" s="13" t="n">
        <v>2</v>
      </c>
      <c r="M10" s="13" t="n">
        <v>3</v>
      </c>
      <c r="N10" s="13" t="n">
        <v>1</v>
      </c>
      <c r="O10" s="13" t="inlineStr">
        <is>
          <t>ali@meridian.ai</t>
        </is>
      </c>
      <c r="P10" s="13" t="b">
        <v>1</v>
      </c>
      <c r="Q10" s="13" t="n">
        <v>13635</v>
      </c>
      <c r="R10" s="13" t="n"/>
      <c r="S10" s="13" t="n">
        <v>13</v>
      </c>
      <c r="T10" s="13" t="n">
        <v>206</v>
      </c>
      <c r="U10" s="13" t="n">
        <v>18080</v>
      </c>
      <c r="V10" s="13" t="b">
        <v>0</v>
      </c>
      <c r="W10" s="13" t="inlineStr">
        <is>
          <t>1b1-N-3.xlsx</t>
        </is>
      </c>
      <c r="X10" s="13" t="n">
        <v>2465</v>
      </c>
      <c r="Y10" s="13" t="inlineStr">
        <is>
          <t>1b1-N-2.xlsx</t>
        </is>
      </c>
      <c r="Z10" s="13" t="n">
        <v>2704</v>
      </c>
      <c r="AA10" s="13" t="b">
        <v>0</v>
      </c>
      <c r="AB10" s="13" t="b">
        <v>0</v>
      </c>
      <c r="AC10" s="13" t="b">
        <v>0</v>
      </c>
      <c r="AD10" s="13" t="n">
        <v>2</v>
      </c>
      <c r="AE10" s="13" t="n">
        <v>1</v>
      </c>
      <c r="AF10" s="13" t="inlineStr">
        <is>
          <t>completed</t>
        </is>
      </c>
      <c r="AG10" s="17" t="n">
        <v>1787806</v>
      </c>
      <c r="AH10" s="17" t="n">
        <v>13833</v>
      </c>
      <c r="AI10" s="13" t="inlineStr"/>
      <c r="AJ10" s="13" t="inlineStr"/>
      <c r="AK10" s="13" t="inlineStr">
        <is>
          <t>4f56a4bf-a1c1-4a5a-a04b-0002394e52c8</t>
        </is>
      </c>
    </row>
    <row r="11" ht="78" customHeight="1">
      <c r="A11" s="20" t="inlineStr">
        <is>
          <t>e8ad8af9</t>
        </is>
      </c>
      <c r="B11" s="21" t="inlineStr">
        <is>
          <t>Regenerated today - outline now present (first run was empty context, second run healthy)</t>
        </is>
      </c>
      <c r="C11" s="21" t="inlineStr">
        <is>
          <t>APPROVE to generating_prompt.</t>
        </is>
      </c>
      <c r="D11" s="12" t="inlineStr">
        <is>
          <t>Decomper prior: 88% of their SOTA-scored tasks came back too easy (n=16).</t>
        </is>
      </c>
      <c r="E11" s="12" t="inlineStr">
        <is>
          <t>18 bullets, 10819 chars. Last run 661,231 in / 6,654 out.</t>
        </is>
      </c>
      <c r="F11" s="13" t="inlineStr">
        <is>
          <t>A1_no_outline</t>
        </is>
      </c>
      <c r="G11" s="12" t="inlineStr">
        <is>
          <t>infinitearbitrage@gmail.com</t>
        </is>
      </c>
      <c r="H11" s="14" t="n">
        <v>0.875</v>
      </c>
      <c r="I11" s="13" t="n">
        <v>16</v>
      </c>
      <c r="J11" s="15" t="n">
        <v>46266.91628394676</v>
      </c>
      <c r="K11" s="16" t="n">
        <v>0.1</v>
      </c>
      <c r="L11" s="13" t="n">
        <v>2</v>
      </c>
      <c r="M11" s="13" t="n">
        <v>3</v>
      </c>
      <c r="N11" s="13" t="n">
        <v>1</v>
      </c>
      <c r="O11" s="13" t="inlineStr">
        <is>
          <t>ali@meridian.ai</t>
        </is>
      </c>
      <c r="P11" s="13" t="b">
        <v>1</v>
      </c>
      <c r="Q11" s="13" t="n">
        <v>10819</v>
      </c>
      <c r="R11" s="13" t="n"/>
      <c r="S11" s="13" t="n">
        <v>18</v>
      </c>
      <c r="T11" s="13" t="n">
        <v>54</v>
      </c>
      <c r="U11" s="13" t="n">
        <v>15492</v>
      </c>
      <c r="V11" s="13" t="b">
        <v>0</v>
      </c>
      <c r="W11" s="13" t="inlineStr">
        <is>
          <t>08.31_39 N-3.xlsx</t>
        </is>
      </c>
      <c r="X11" s="13" t="n">
        <v>37</v>
      </c>
      <c r="Y11" s="13" t="inlineStr">
        <is>
          <t>08.31_39 N-2.xlsx</t>
        </is>
      </c>
      <c r="Z11" s="13" t="n">
        <v>273</v>
      </c>
      <c r="AA11" s="13" t="b">
        <v>0</v>
      </c>
      <c r="AB11" s="13" t="b">
        <v>0</v>
      </c>
      <c r="AC11" s="13" t="b">
        <v>0</v>
      </c>
      <c r="AD11" s="13" t="n">
        <v>2</v>
      </c>
      <c r="AE11" s="13" t="n">
        <v>1</v>
      </c>
      <c r="AF11" s="13" t="inlineStr">
        <is>
          <t>completed</t>
        </is>
      </c>
      <c r="AG11" s="17" t="n">
        <v>661231</v>
      </c>
      <c r="AH11" s="17" t="n">
        <v>6654</v>
      </c>
      <c r="AI11" s="13" t="inlineStr"/>
      <c r="AJ11" s="13" t="inlineStr"/>
      <c r="AK11" s="13" t="inlineStr">
        <is>
          <t>e8ad8af9-0dc2-4a47-915d-69799551aad9</t>
        </is>
      </c>
    </row>
    <row r="12" ht="78" customHeight="1">
      <c r="A12" s="20" t="inlineStr">
        <is>
          <t>15a0ebf7</t>
        </is>
      </c>
      <c r="B12" s="21" t="inlineStr">
        <is>
          <t>Regenerated today - outline now present (first run was empty context, second run healthy)</t>
        </is>
      </c>
      <c r="C12" s="21" t="inlineStr">
        <is>
          <t>APPROVE to generating_prompt.</t>
        </is>
      </c>
      <c r="D12" s="12" t="inlineStr">
        <is>
          <t>Decomper prior: 100% of their SOTA-scored tasks came back too easy (n=2).</t>
        </is>
      </c>
      <c r="E12" s="12" t="inlineStr">
        <is>
          <t>12 bullets, 6847 chars. Last run 902,266 in / 16,002 out.</t>
        </is>
      </c>
      <c r="F12" s="13" t="inlineStr">
        <is>
          <t>A1_no_outline</t>
        </is>
      </c>
      <c r="G12" s="12" t="inlineStr">
        <is>
          <t>nimisha.mekala2021@gmail.com</t>
        </is>
      </c>
      <c r="H12" s="14" t="n">
        <v>1</v>
      </c>
      <c r="I12" s="13" t="n">
        <v>2</v>
      </c>
      <c r="J12" s="15" t="n">
        <v>46266.91943037037</v>
      </c>
      <c r="K12" s="16" t="n">
        <v>0.1</v>
      </c>
      <c r="L12" s="13" t="n">
        <v>2</v>
      </c>
      <c r="M12" s="13" t="n">
        <v>3</v>
      </c>
      <c r="N12" s="13" t="n">
        <v>1</v>
      </c>
      <c r="O12" s="13" t="inlineStr">
        <is>
          <t>ali@meridian.ai</t>
        </is>
      </c>
      <c r="P12" s="13" t="b">
        <v>1</v>
      </c>
      <c r="Q12" s="13" t="n">
        <v>6847</v>
      </c>
      <c r="R12" s="13" t="n"/>
      <c r="S12" s="13" t="n">
        <v>12</v>
      </c>
      <c r="T12" s="13" t="n">
        <v>87</v>
      </c>
      <c r="U12" s="13" t="n">
        <v>12659</v>
      </c>
      <c r="V12" s="13" t="b">
        <v>0</v>
      </c>
      <c r="W12" s="13" t="inlineStr">
        <is>
          <t>MFESC_-_Model.redacted-hygiene_N-4.xlsx</t>
        </is>
      </c>
      <c r="X12" s="13" t="n">
        <v>1268</v>
      </c>
      <c r="Y12" s="13" t="inlineStr">
        <is>
          <t>MFESC_-_Model.redacted-hygiene_N-3.xlsx</t>
        </is>
      </c>
      <c r="Z12" s="13" t="n">
        <v>1390</v>
      </c>
      <c r="AA12" s="13" t="b">
        <v>0</v>
      </c>
      <c r="AB12" s="13" t="b">
        <v>0</v>
      </c>
      <c r="AC12" s="13" t="b">
        <v>0</v>
      </c>
      <c r="AD12" s="13" t="n">
        <v>2</v>
      </c>
      <c r="AE12" s="13" t="n">
        <v>1</v>
      </c>
      <c r="AF12" s="13" t="inlineStr">
        <is>
          <t>completed</t>
        </is>
      </c>
      <c r="AG12" s="17" t="n">
        <v>902266</v>
      </c>
      <c r="AH12" s="17" t="n">
        <v>16002</v>
      </c>
      <c r="AI12" s="13" t="inlineStr"/>
      <c r="AJ12" s="13" t="inlineStr"/>
      <c r="AK12" s="13" t="inlineStr">
        <is>
          <t>15a0ebf7-8354-4e97-bdfd-764a03bef9ee</t>
        </is>
      </c>
    </row>
    <row r="13" ht="78" customHeight="1">
      <c r="A13" s="20" t="inlineStr">
        <is>
          <t>f925d988</t>
        </is>
      </c>
      <c r="B13" s="21" t="inlineStr">
        <is>
          <t>Regenerated twice today (failed loudly at 22:59, succeeded at 00:02) - outline now 8221 chars (was 5989)</t>
        </is>
      </c>
      <c r="C13" s="21" t="inlineStr">
        <is>
          <t>APPROVE to generating_prompt.</t>
        </is>
      </c>
      <c r="D13" s="12" t="inlineStr">
        <is>
          <t>One agent run from 22:55 is still marked running with empty context (a stuck record); the 00:02 run completed healthy and produced this outline.</t>
        </is>
      </c>
      <c r="E13" s="12" t="inlineStr">
        <is>
          <t>17 bullets, 8221 chars. Last run 320,505 in / 10,551 out.</t>
        </is>
      </c>
      <c r="F13" s="13" t="inlineStr">
        <is>
          <t>D_thin_transition</t>
        </is>
      </c>
      <c r="G13" s="12" t="inlineStr">
        <is>
          <t>apathy@uchicago.edu</t>
        </is>
      </c>
      <c r="H13" s="14" t="n">
        <v>0.556</v>
      </c>
      <c r="I13" s="13" t="n">
        <v>9</v>
      </c>
      <c r="J13" s="15" t="n">
        <v>46267.00435008102</v>
      </c>
      <c r="K13" s="16" t="n">
        <v>0</v>
      </c>
      <c r="L13" s="13" t="n">
        <v>2</v>
      </c>
      <c r="M13" s="13" t="n">
        <v>5</v>
      </c>
      <c r="N13" s="13" t="n">
        <v>2</v>
      </c>
      <c r="O13" s="13" t="inlineStr">
        <is>
          <t>ali@meridian.ai</t>
        </is>
      </c>
      <c r="P13" s="13" t="b">
        <v>1</v>
      </c>
      <c r="Q13" s="13" t="n">
        <v>8221</v>
      </c>
      <c r="R13" s="13" t="n">
        <v>5989</v>
      </c>
      <c r="S13" s="13" t="n">
        <v>17</v>
      </c>
      <c r="T13" s="13" t="n">
        <v>12</v>
      </c>
      <c r="U13" s="13" t="n">
        <v>12113</v>
      </c>
      <c r="V13" s="13" t="b">
        <v>0</v>
      </c>
      <c r="W13" s="13" t="inlineStr">
        <is>
          <t>fa9-N-4.xlsx</t>
        </is>
      </c>
      <c r="X13" s="13" t="n">
        <v>985</v>
      </c>
      <c r="Y13" s="13" t="inlineStr">
        <is>
          <t>fa9-N-3.xlsx</t>
        </is>
      </c>
      <c r="Z13" s="13" t="n">
        <v>1084</v>
      </c>
      <c r="AA13" s="13" t="b">
        <v>0</v>
      </c>
      <c r="AB13" s="13" t="b">
        <v>0</v>
      </c>
      <c r="AC13" s="13" t="b">
        <v>0</v>
      </c>
      <c r="AD13" s="13" t="n">
        <v>3</v>
      </c>
      <c r="AE13" s="13" t="n">
        <v>1</v>
      </c>
      <c r="AF13" s="13" t="inlineStr">
        <is>
          <t>completed</t>
        </is>
      </c>
      <c r="AG13" s="17" t="n">
        <v>320505</v>
      </c>
      <c r="AH13" s="17" t="n">
        <v>10551</v>
      </c>
      <c r="AI13" s="13" t="inlineStr"/>
      <c r="AJ13" s="13" t="inlineStr"/>
      <c r="AK13" s="13" t="inlineStr">
        <is>
          <t>f925d988-87c3-4cb0-a396-b583b2949382</t>
        </is>
      </c>
    </row>
    <row r="14" ht="78" customHeight="1">
      <c r="A14" s="20" t="inlineStr">
        <is>
          <t>21d534e3</t>
        </is>
      </c>
      <c r="B14" s="21" t="inlineStr">
        <is>
          <t>Regenerated today - outline now present (first run was empty context, second run healthy)</t>
        </is>
      </c>
      <c r="C14" s="21" t="inlineStr">
        <is>
          <t>APPROVE to generating_prompt.</t>
        </is>
      </c>
      <c r="D14" s="12" t="inlineStr"/>
      <c r="E14" s="12" t="inlineStr">
        <is>
          <t>15 bullets, 11075 chars. Last run 617,199 in / 14,519 out.</t>
        </is>
      </c>
      <c r="F14" s="13" t="inlineStr">
        <is>
          <t>A1_no_outline</t>
        </is>
      </c>
      <c r="G14" s="12" t="inlineStr">
        <is>
          <t>apathy@uchicago.edu</t>
        </is>
      </c>
      <c r="H14" s="14" t="n">
        <v>0.556</v>
      </c>
      <c r="I14" s="13" t="n">
        <v>9</v>
      </c>
      <c r="J14" s="15" t="n">
        <v>46266.91811743056</v>
      </c>
      <c r="K14" s="16" t="n">
        <v>0.1</v>
      </c>
      <c r="L14" s="13" t="n">
        <v>2</v>
      </c>
      <c r="M14" s="13" t="n">
        <v>3</v>
      </c>
      <c r="N14" s="13" t="n">
        <v>1</v>
      </c>
      <c r="O14" s="13" t="inlineStr">
        <is>
          <t>ali@meridian.ai</t>
        </is>
      </c>
      <c r="P14" s="13" t="b">
        <v>1</v>
      </c>
      <c r="Q14" s="13" t="n">
        <v>11075</v>
      </c>
      <c r="R14" s="13" t="n"/>
      <c r="S14" s="13" t="n">
        <v>15</v>
      </c>
      <c r="T14" s="13" t="n">
        <v>128</v>
      </c>
      <c r="U14" s="13" t="n">
        <v>10061</v>
      </c>
      <c r="V14" s="13" t="b">
        <v>0</v>
      </c>
      <c r="W14" s="13" t="inlineStr">
        <is>
          <t>bbe-N-5.xlsx</t>
        </is>
      </c>
      <c r="X14" s="13" t="n">
        <v>666</v>
      </c>
      <c r="Y14" s="13" t="inlineStr">
        <is>
          <t>bbe-N-4.xlsx</t>
        </is>
      </c>
      <c r="Z14" s="13" t="n">
        <v>817</v>
      </c>
      <c r="AA14" s="13" t="b">
        <v>0</v>
      </c>
      <c r="AB14" s="13" t="b">
        <v>0</v>
      </c>
      <c r="AC14" s="13" t="b">
        <v>0</v>
      </c>
      <c r="AD14" s="13" t="n">
        <v>2</v>
      </c>
      <c r="AE14" s="13" t="n">
        <v>1</v>
      </c>
      <c r="AF14" s="13" t="inlineStr">
        <is>
          <t>completed</t>
        </is>
      </c>
      <c r="AG14" s="17" t="n">
        <v>617199</v>
      </c>
      <c r="AH14" s="17" t="n">
        <v>14519</v>
      </c>
      <c r="AI14" s="13" t="inlineStr"/>
      <c r="AJ14" s="13" t="inlineStr"/>
      <c r="AK14" s="13" t="inlineStr">
        <is>
          <t>21d534e3-8c09-46e5-8a5d-b5c55c8522a2</t>
        </is>
      </c>
    </row>
    <row r="15" ht="78" customHeight="1">
      <c r="A15" s="20" t="inlineStr">
        <is>
          <t>552a9578</t>
        </is>
      </c>
      <c r="B15" s="21" t="inlineStr">
        <is>
          <t>Regenerated today - outline now present (first run was empty context, second run healthy)</t>
        </is>
      </c>
      <c r="C15" s="21" t="inlineStr">
        <is>
          <t>APPROVE to generating_prompt.</t>
        </is>
      </c>
      <c r="D15" s="12" t="inlineStr">
        <is>
          <t>Decomper prior: 86% of their SOTA-scored tasks came back too easy (n=28).</t>
        </is>
      </c>
      <c r="E15" s="12" t="inlineStr">
        <is>
          <t>23 bullets, 11303 chars. Last run 1,252,033 in / 15,059 out.</t>
        </is>
      </c>
      <c r="F15" s="13" t="inlineStr">
        <is>
          <t>A1_no_outline</t>
        </is>
      </c>
      <c r="G15" s="12" t="inlineStr">
        <is>
          <t>wangche2532@gmail.com</t>
        </is>
      </c>
      <c r="H15" s="14" t="n">
        <v>0.857</v>
      </c>
      <c r="I15" s="13" t="n">
        <v>28</v>
      </c>
      <c r="J15" s="15" t="n">
        <v>46266.91980125</v>
      </c>
      <c r="K15" s="16" t="n">
        <v>0.1</v>
      </c>
      <c r="L15" s="13" t="n">
        <v>2</v>
      </c>
      <c r="M15" s="13" t="n">
        <v>3</v>
      </c>
      <c r="N15" s="13" t="n">
        <v>1</v>
      </c>
      <c r="O15" s="13" t="inlineStr">
        <is>
          <t>ali@meridian.ai</t>
        </is>
      </c>
      <c r="P15" s="13" t="b">
        <v>1</v>
      </c>
      <c r="Q15" s="13" t="n">
        <v>11303</v>
      </c>
      <c r="R15" s="13" t="n"/>
      <c r="S15" s="13" t="n">
        <v>23</v>
      </c>
      <c r="T15" s="13" t="n">
        <v>181</v>
      </c>
      <c r="U15" s="13" t="n">
        <v>8568</v>
      </c>
      <c r="V15" s="13" t="b">
        <v>0</v>
      </c>
      <c r="W15" s="13" t="inlineStr">
        <is>
          <t>08.30_59 N-3.xlsx</t>
        </is>
      </c>
      <c r="X15" s="13" t="n">
        <v>393</v>
      </c>
      <c r="Y15" s="13" t="inlineStr">
        <is>
          <t>08.30_59 N-2.xlsx</t>
        </is>
      </c>
      <c r="Z15" s="13" t="n">
        <v>511</v>
      </c>
      <c r="AA15" s="13" t="b">
        <v>0</v>
      </c>
      <c r="AB15" s="13" t="b">
        <v>0</v>
      </c>
      <c r="AC15" s="13" t="b">
        <v>0</v>
      </c>
      <c r="AD15" s="13" t="n">
        <v>2</v>
      </c>
      <c r="AE15" s="13" t="n">
        <v>1</v>
      </c>
      <c r="AF15" s="13" t="inlineStr">
        <is>
          <t>completed</t>
        </is>
      </c>
      <c r="AG15" s="17" t="n">
        <v>1252033</v>
      </c>
      <c r="AH15" s="17" t="n">
        <v>15059</v>
      </c>
      <c r="AI15" s="13" t="inlineStr"/>
      <c r="AJ15" s="13" t="inlineStr"/>
      <c r="AK15" s="13" t="inlineStr">
        <is>
          <t>552a9578-aaf8-453b-8f58-e85a1ed40315</t>
        </is>
      </c>
    </row>
    <row r="16" ht="78" customHeight="1">
      <c r="A16" s="20" t="inlineStr">
        <is>
          <t>a0b42bc7</t>
        </is>
      </c>
      <c r="B16" s="21" t="inlineStr">
        <is>
          <t>New arrival - first visit, healthy agent run, outline present</t>
        </is>
      </c>
      <c r="C16" s="21" t="inlineStr">
        <is>
          <t>APPROVE to generating_prompt.</t>
        </is>
      </c>
      <c r="D16" s="12" t="inlineStr">
        <is>
          <t>Decomper prior: 86% of their SOTA-scored tasks came back too easy (n=28).</t>
        </is>
      </c>
      <c r="E16" s="12" t="inlineStr">
        <is>
          <t>19 bullets, 7699 chars. Last run 1,245,622 in / 10,184 out.</t>
        </is>
      </c>
      <c r="F16" s="13" t="inlineStr">
        <is>
          <t>NEW (arrived after the triage snapshot)</t>
        </is>
      </c>
      <c r="G16" s="12" t="inlineStr">
        <is>
          <t>wangche2532@gmail.com</t>
        </is>
      </c>
      <c r="H16" s="14" t="n">
        <v>0.857</v>
      </c>
      <c r="I16" s="13" t="n">
        <v>28</v>
      </c>
      <c r="J16" s="15" t="n">
        <v>46266.94812115741</v>
      </c>
      <c r="K16" s="16" t="n">
        <v>0.1</v>
      </c>
      <c r="L16" s="13" t="n">
        <v>1</v>
      </c>
      <c r="M16" s="13" t="n">
        <v>2</v>
      </c>
      <c r="N16" s="13" t="n">
        <v>0</v>
      </c>
      <c r="O16" s="13" t="inlineStr"/>
      <c r="P16" s="13" t="b">
        <v>1</v>
      </c>
      <c r="Q16" s="13" t="n">
        <v>7699</v>
      </c>
      <c r="R16" s="13" t="n"/>
      <c r="S16" s="13" t="n">
        <v>19</v>
      </c>
      <c r="T16" s="13" t="n">
        <v>39</v>
      </c>
      <c r="U16" s="13" t="n">
        <v>8208</v>
      </c>
      <c r="V16" s="13" t="b">
        <v>0</v>
      </c>
      <c r="W16" s="13" t="inlineStr">
        <is>
          <t>08.31_78 N-3.xlsx</t>
        </is>
      </c>
      <c r="X16" s="13" t="n">
        <v>122</v>
      </c>
      <c r="Y16" s="13" t="inlineStr">
        <is>
          <t>08.31_78 N-2.xlsx</t>
        </is>
      </c>
      <c r="Z16" s="13" t="n">
        <v>431</v>
      </c>
      <c r="AA16" s="13" t="b">
        <v>0</v>
      </c>
      <c r="AB16" s="13" t="b">
        <v>0</v>
      </c>
      <c r="AC16" s="13" t="b">
        <v>0</v>
      </c>
      <c r="AD16" s="13" t="n">
        <v>1</v>
      </c>
      <c r="AE16" s="13" t="n">
        <v>0</v>
      </c>
      <c r="AF16" s="13" t="inlineStr">
        <is>
          <t>completed</t>
        </is>
      </c>
      <c r="AG16" s="17" t="n">
        <v>1245622</v>
      </c>
      <c r="AH16" s="17" t="n">
        <v>10184</v>
      </c>
      <c r="AI16" s="13" t="inlineStr"/>
      <c r="AJ16" s="13" t="inlineStr"/>
      <c r="AK16" s="13" t="inlineStr">
        <is>
          <t>a0b42bc7-af28-40a5-80c2-7a103169a005</t>
        </is>
      </c>
    </row>
    <row r="17" ht="78" customHeight="1">
      <c r="A17" s="20" t="inlineStr">
        <is>
          <t>41fbe12c</t>
        </is>
      </c>
      <c r="B17" s="21" t="inlineStr">
        <is>
          <t>Regenerated twice today (failed loudly at 22:59, succeeded at 00:02) - outline now 14756 chars (was 0)</t>
        </is>
      </c>
      <c r="C17" s="21" t="inlineStr">
        <is>
          <t>APPROVE to generating_prompt.</t>
        </is>
      </c>
      <c r="D17" s="12" t="inlineStr"/>
      <c r="E17" s="12" t="inlineStr">
        <is>
          <t>32 bullets, 14756 chars. Last run 805,080 in / 13,754 out.</t>
        </is>
      </c>
      <c r="F17" s="13" t="inlineStr">
        <is>
          <t>A2_no_outline_looping</t>
        </is>
      </c>
      <c r="G17" s="12" t="inlineStr">
        <is>
          <t>apathy@uchicago.edu</t>
        </is>
      </c>
      <c r="H17" s="14" t="n">
        <v>0.556</v>
      </c>
      <c r="I17" s="13" t="n">
        <v>9</v>
      </c>
      <c r="J17" s="15" t="n">
        <v>46266.95842252314</v>
      </c>
      <c r="K17" s="16" t="n">
        <v>0</v>
      </c>
      <c r="L17" s="13" t="n">
        <v>4</v>
      </c>
      <c r="M17" s="13" t="n">
        <v>5</v>
      </c>
      <c r="N17" s="13" t="n">
        <v>3</v>
      </c>
      <c r="O17" s="13" t="inlineStr">
        <is>
          <t>ali@meridian.ai, rishi@meridian.ai</t>
        </is>
      </c>
      <c r="P17" s="13" t="b">
        <v>1</v>
      </c>
      <c r="Q17" s="13" t="n">
        <v>14756</v>
      </c>
      <c r="R17" s="13" t="n"/>
      <c r="S17" s="13" t="n">
        <v>32</v>
      </c>
      <c r="T17" s="13" t="n">
        <v>156</v>
      </c>
      <c r="U17" s="13" t="n">
        <v>8187</v>
      </c>
      <c r="V17" s="13" t="b">
        <v>1</v>
      </c>
      <c r="W17" s="13" t="inlineStr">
        <is>
          <t>049-N-1.xlsx</t>
        </is>
      </c>
      <c r="X17" s="13" t="n">
        <v>323</v>
      </c>
      <c r="Y17" s="13" t="inlineStr">
        <is>
          <t>049-N-0.xlsx</t>
        </is>
      </c>
      <c r="Z17" s="13" t="n">
        <v>468</v>
      </c>
      <c r="AA17" s="13" t="b">
        <v>0</v>
      </c>
      <c r="AB17" s="13" t="b">
        <v>0</v>
      </c>
      <c r="AC17" s="13" t="b">
        <v>0</v>
      </c>
      <c r="AD17" s="13" t="n">
        <v>4</v>
      </c>
      <c r="AE17" s="13" t="n">
        <v>3</v>
      </c>
      <c r="AF17" s="13" t="inlineStr">
        <is>
          <t>completed</t>
        </is>
      </c>
      <c r="AG17" s="17" t="n">
        <v>805080</v>
      </c>
      <c r="AH17" s="17" t="n">
        <v>13754</v>
      </c>
      <c r="AI17" s="13" t="inlineStr"/>
      <c r="AJ17" s="13" t="inlineStr">
        <is>
          <t>513b9b3f-fddb-4889-b6f2-ab71b1535791</t>
        </is>
      </c>
      <c r="AK17" s="13" t="inlineStr">
        <is>
          <t>41fbe12c-7c20-463d-96e8-4ae8700d1c0d</t>
        </is>
      </c>
    </row>
    <row r="18" ht="78" customHeight="1">
      <c r="A18" s="20" t="inlineStr">
        <is>
          <t>7b4c773f</t>
        </is>
      </c>
      <c r="B18" s="21" t="inlineStr">
        <is>
          <t>Regenerated today - outline now present (first run was empty context, second run healthy)</t>
        </is>
      </c>
      <c r="C18" s="21" t="inlineStr">
        <is>
          <t>APPROVE to generating_prompt.</t>
        </is>
      </c>
      <c r="D18" s="12" t="inlineStr"/>
      <c r="E18" s="12" t="inlineStr">
        <is>
          <t>19 bullets, 6881 chars. Last run 302,515 in / 8,875 out.</t>
        </is>
      </c>
      <c r="F18" s="13" t="inlineStr">
        <is>
          <t>A1_no_outline</t>
        </is>
      </c>
      <c r="G18" s="12" t="inlineStr">
        <is>
          <t>apathy@uchicago.edu</t>
        </is>
      </c>
      <c r="H18" s="14" t="n">
        <v>0.556</v>
      </c>
      <c r="I18" s="13" t="n">
        <v>9</v>
      </c>
      <c r="J18" s="15" t="n">
        <v>46266.91683578704</v>
      </c>
      <c r="K18" s="16" t="n">
        <v>0.1</v>
      </c>
      <c r="L18" s="13" t="n">
        <v>2</v>
      </c>
      <c r="M18" s="13" t="n">
        <v>3</v>
      </c>
      <c r="N18" s="13" t="n">
        <v>1</v>
      </c>
      <c r="O18" s="13" t="inlineStr">
        <is>
          <t>ali@meridian.ai</t>
        </is>
      </c>
      <c r="P18" s="13" t="b">
        <v>1</v>
      </c>
      <c r="Q18" s="13" t="n">
        <v>6881</v>
      </c>
      <c r="R18" s="13" t="n"/>
      <c r="S18" s="13" t="n">
        <v>19</v>
      </c>
      <c r="T18" s="13" t="n">
        <v>33</v>
      </c>
      <c r="U18" s="13" t="n">
        <v>7637</v>
      </c>
      <c r="V18" s="13" t="b">
        <v>0</v>
      </c>
      <c r="W18" s="13" t="inlineStr">
        <is>
          <t>bbe-N-3.xlsx</t>
        </is>
      </c>
      <c r="X18" s="13" t="n">
        <v>874</v>
      </c>
      <c r="Y18" s="13" t="inlineStr">
        <is>
          <t>bbe-N-2.xlsx</t>
        </is>
      </c>
      <c r="Z18" s="13" t="n">
        <v>927</v>
      </c>
      <c r="AA18" s="13" t="b">
        <v>0</v>
      </c>
      <c r="AB18" s="13" t="b">
        <v>0</v>
      </c>
      <c r="AC18" s="13" t="b">
        <v>0</v>
      </c>
      <c r="AD18" s="13" t="n">
        <v>2</v>
      </c>
      <c r="AE18" s="13" t="n">
        <v>1</v>
      </c>
      <c r="AF18" s="13" t="inlineStr">
        <is>
          <t>completed</t>
        </is>
      </c>
      <c r="AG18" s="17" t="n">
        <v>302515</v>
      </c>
      <c r="AH18" s="17" t="n">
        <v>8875</v>
      </c>
      <c r="AI18" s="13" t="inlineStr"/>
      <c r="AJ18" s="13" t="inlineStr"/>
      <c r="AK18" s="13" t="inlineStr">
        <is>
          <t>7b4c773f-02c0-42cf-a37b-04b6773b86c0</t>
        </is>
      </c>
    </row>
    <row r="19" ht="78" customHeight="1">
      <c r="A19" s="20" t="inlineStr">
        <is>
          <t>62d0dff1</t>
        </is>
      </c>
      <c r="B19" s="21" t="inlineStr">
        <is>
          <t>Regenerated today - outline now present (first run was empty context, second run healthy)</t>
        </is>
      </c>
      <c r="C19" s="21" t="inlineStr">
        <is>
          <t>APPROVE to generating_prompt.</t>
        </is>
      </c>
      <c r="D19" s="12" t="inlineStr">
        <is>
          <t>Decomper prior: 86% of their SOTA-scored tasks came back too easy (n=28).</t>
        </is>
      </c>
      <c r="E19" s="12" t="inlineStr">
        <is>
          <t>14 bullets, 5587 chars. Last run 130,516 in / 6,365 out.</t>
        </is>
      </c>
      <c r="F19" s="13" t="inlineStr">
        <is>
          <t>A1_no_outline</t>
        </is>
      </c>
      <c r="G19" s="12" t="inlineStr">
        <is>
          <t>wangche2532@gmail.com</t>
        </is>
      </c>
      <c r="H19" s="14" t="n">
        <v>0.857</v>
      </c>
      <c r="I19" s="13" t="n">
        <v>28</v>
      </c>
      <c r="J19" s="15" t="n">
        <v>46266.91631778935</v>
      </c>
      <c r="K19" s="16" t="n">
        <v>0.1</v>
      </c>
      <c r="L19" s="13" t="n">
        <v>2</v>
      </c>
      <c r="M19" s="13" t="n">
        <v>3</v>
      </c>
      <c r="N19" s="13" t="n">
        <v>1</v>
      </c>
      <c r="O19" s="13" t="inlineStr">
        <is>
          <t>ali@meridian.ai</t>
        </is>
      </c>
      <c r="P19" s="13" t="b">
        <v>1</v>
      </c>
      <c r="Q19" s="13" t="n">
        <v>5587</v>
      </c>
      <c r="R19" s="13" t="n"/>
      <c r="S19" s="13" t="n">
        <v>14</v>
      </c>
      <c r="T19" s="13" t="n">
        <v>45</v>
      </c>
      <c r="U19" s="13" t="n">
        <v>7131</v>
      </c>
      <c r="V19" s="13" t="b">
        <v>0</v>
      </c>
      <c r="W19" s="13" t="inlineStr">
        <is>
          <t>08.30_59 N-2.xlsx</t>
        </is>
      </c>
      <c r="X19" s="13" t="n">
        <v>511</v>
      </c>
      <c r="Y19" s="13" t="inlineStr">
        <is>
          <t>08.30_59 N-1.xlsx</t>
        </is>
      </c>
      <c r="Z19" s="13" t="n">
        <v>601</v>
      </c>
      <c r="AA19" s="13" t="b">
        <v>0</v>
      </c>
      <c r="AB19" s="13" t="b">
        <v>0</v>
      </c>
      <c r="AC19" s="13" t="b">
        <v>0</v>
      </c>
      <c r="AD19" s="13" t="n">
        <v>2</v>
      </c>
      <c r="AE19" s="13" t="n">
        <v>1</v>
      </c>
      <c r="AF19" s="13" t="inlineStr">
        <is>
          <t>completed</t>
        </is>
      </c>
      <c r="AG19" s="17" t="n">
        <v>130516</v>
      </c>
      <c r="AH19" s="17" t="n">
        <v>6365</v>
      </c>
      <c r="AI19" s="13" t="inlineStr"/>
      <c r="AJ19" s="13" t="inlineStr"/>
      <c r="AK19" s="13" t="inlineStr">
        <is>
          <t>62d0dff1-ef18-40ae-879c-f7dd0fc7a67e</t>
        </is>
      </c>
    </row>
    <row r="20" ht="78" customHeight="1">
      <c r="A20" s="20" t="inlineStr">
        <is>
          <t>443385cc</t>
        </is>
      </c>
      <c r="B20" s="21" t="inlineStr">
        <is>
          <t>Regenerated today - outline now present (first run was empty context, second run healthy)</t>
        </is>
      </c>
      <c r="C20" s="21" t="inlineStr">
        <is>
          <t>APPROVE to generating_prompt.</t>
        </is>
      </c>
      <c r="D20" s="12" t="inlineStr">
        <is>
          <t>Decomper prior: 86% of their SOTA-scored tasks came back too easy (n=28).</t>
        </is>
      </c>
      <c r="E20" s="12" t="inlineStr">
        <is>
          <t>16 bullets, 7623 chars. Last run 246,647 in / 8,273 out.</t>
        </is>
      </c>
      <c r="F20" s="13" t="inlineStr">
        <is>
          <t>A1_no_outline</t>
        </is>
      </c>
      <c r="G20" s="12" t="inlineStr">
        <is>
          <t>wangche2532@gmail.com</t>
        </is>
      </c>
      <c r="H20" s="14" t="n">
        <v>0.857</v>
      </c>
      <c r="I20" s="13" t="n">
        <v>28</v>
      </c>
      <c r="J20" s="15" t="n">
        <v>46266.91678880787</v>
      </c>
      <c r="K20" s="16" t="n">
        <v>0.1</v>
      </c>
      <c r="L20" s="13" t="n">
        <v>2</v>
      </c>
      <c r="M20" s="13" t="n">
        <v>3</v>
      </c>
      <c r="N20" s="13" t="n">
        <v>1</v>
      </c>
      <c r="O20" s="13" t="inlineStr">
        <is>
          <t>ali@meridian.ai</t>
        </is>
      </c>
      <c r="P20" s="13" t="b">
        <v>1</v>
      </c>
      <c r="Q20" s="13" t="n">
        <v>7623</v>
      </c>
      <c r="R20" s="13" t="n"/>
      <c r="S20" s="13" t="n">
        <v>16</v>
      </c>
      <c r="T20" s="13" t="n">
        <v>33</v>
      </c>
      <c r="U20" s="13" t="n">
        <v>5573</v>
      </c>
      <c r="V20" s="13" t="b">
        <v>0</v>
      </c>
      <c r="W20" s="13" t="inlineStr">
        <is>
          <t>08.30_59 N-4.xlsx</t>
        </is>
      </c>
      <c r="X20" s="13" t="n">
        <v>325</v>
      </c>
      <c r="Y20" s="13" t="inlineStr">
        <is>
          <t>08.30_59 N-3.xlsx</t>
        </is>
      </c>
      <c r="Z20" s="13" t="n">
        <v>393</v>
      </c>
      <c r="AA20" s="13" t="b">
        <v>0</v>
      </c>
      <c r="AB20" s="13" t="b">
        <v>0</v>
      </c>
      <c r="AC20" s="13" t="b">
        <v>0</v>
      </c>
      <c r="AD20" s="13" t="n">
        <v>2</v>
      </c>
      <c r="AE20" s="13" t="n">
        <v>1</v>
      </c>
      <c r="AF20" s="13" t="inlineStr">
        <is>
          <t>completed</t>
        </is>
      </c>
      <c r="AG20" s="17" t="n">
        <v>246647</v>
      </c>
      <c r="AH20" s="17" t="n">
        <v>8273</v>
      </c>
      <c r="AI20" s="13" t="inlineStr"/>
      <c r="AJ20" s="13" t="inlineStr"/>
      <c r="AK20" s="13" t="inlineStr">
        <is>
          <t>443385cc-42c6-486b-ac8e-fd8724d99160</t>
        </is>
      </c>
    </row>
    <row r="21" ht="78" customHeight="1">
      <c r="A21" s="20" t="inlineStr">
        <is>
          <t>69633abd</t>
        </is>
      </c>
      <c r="B21" s="21" t="inlineStr">
        <is>
          <t>Regenerated twice today (failed loudly at 22:59, succeeded at 00:02) - outline now 5529 chars (was 8361)</t>
        </is>
      </c>
      <c r="C21" s="21" t="inlineStr">
        <is>
          <t>APPROVE to generating_prompt.</t>
        </is>
      </c>
      <c r="D21" s="12" t="inlineStr">
        <is>
          <t>Last bullet is stray hardcode fragments (36/156, 164.7/158.7-1). History is churny: 4 decomp_review visits, 7 outline generations.</t>
        </is>
      </c>
      <c r="E21" s="12" t="inlineStr">
        <is>
          <t>15 bullets, 5529 chars. Last run 284,605 in / 9,151 out.</t>
        </is>
      </c>
      <c r="F21" s="13" t="inlineStr">
        <is>
          <t>D_thin_transition</t>
        </is>
      </c>
      <c r="G21" s="12" t="inlineStr">
        <is>
          <t>apathy@uchicago.edu</t>
        </is>
      </c>
      <c r="H21" s="14" t="n">
        <v>0.556</v>
      </c>
      <c r="I21" s="13" t="n">
        <v>9</v>
      </c>
      <c r="J21" s="15" t="n">
        <v>46266.95739043981</v>
      </c>
      <c r="K21" s="16" t="n">
        <v>0</v>
      </c>
      <c r="L21" s="13" t="n">
        <v>4</v>
      </c>
      <c r="M21" s="13" t="n">
        <v>7</v>
      </c>
      <c r="N21" s="13" t="n">
        <v>3</v>
      </c>
      <c r="O21" s="13" t="inlineStr">
        <is>
          <t>ali@meridian.ai, leo@meridian.ai, rishi@meridian.ai</t>
        </is>
      </c>
      <c r="P21" s="13" t="b">
        <v>1</v>
      </c>
      <c r="Q21" s="13" t="n">
        <v>5529</v>
      </c>
      <c r="R21" s="13" t="n">
        <v>8361</v>
      </c>
      <c r="S21" s="13" t="n">
        <v>15</v>
      </c>
      <c r="T21" s="13" t="n">
        <v>16</v>
      </c>
      <c r="U21" s="13" t="n">
        <v>3137</v>
      </c>
      <c r="V21" s="13" t="b">
        <v>0</v>
      </c>
      <c r="W21" s="13" t="inlineStr">
        <is>
          <t>c3b-N-3.xlsx</t>
        </is>
      </c>
      <c r="X21" s="13" t="n">
        <v>275</v>
      </c>
      <c r="Y21" s="13" t="inlineStr">
        <is>
          <t>c3b-N-2.xlsx</t>
        </is>
      </c>
      <c r="Z21" s="13" t="n">
        <v>329</v>
      </c>
      <c r="AA21" s="13" t="b">
        <v>0</v>
      </c>
      <c r="AB21" s="13" t="b">
        <v>0</v>
      </c>
      <c r="AC21" s="13" t="b">
        <v>0</v>
      </c>
      <c r="AD21" s="13" t="n">
        <v>4</v>
      </c>
      <c r="AE21" s="13" t="n">
        <v>2</v>
      </c>
      <c r="AF21" s="13" t="inlineStr">
        <is>
          <t>completed</t>
        </is>
      </c>
      <c r="AG21" s="17" t="n">
        <v>284605</v>
      </c>
      <c r="AH21" s="17" t="n">
        <v>9151</v>
      </c>
      <c r="AI21" s="13" t="inlineStr"/>
      <c r="AJ21" s="13" t="inlineStr"/>
      <c r="AK21" s="13" t="inlineStr">
        <is>
          <t>69633abd-f051-404b-81ac-eff6a9593427</t>
        </is>
      </c>
    </row>
    <row r="22" ht="78" customHeight="1">
      <c r="A22" s="20" t="inlineStr">
        <is>
          <t>d010dfa4</t>
        </is>
      </c>
      <c r="B22" s="21" t="inlineStr">
        <is>
          <t>Regenerated today - outline now present (first run was empty context, second run healthy)</t>
        </is>
      </c>
      <c r="C22" s="21" t="inlineStr">
        <is>
          <t>APPROVE to generating_prompt.</t>
        </is>
      </c>
      <c r="D22" s="12" t="inlineStr">
        <is>
          <t>Decomper prior: 100% of their SOTA-scored tasks came back too easy (n=4).</t>
        </is>
      </c>
      <c r="E22" s="12" t="inlineStr">
        <is>
          <t>19 bullets, 9371 chars. Last run 547,503 in / 11,701 out.</t>
        </is>
      </c>
      <c r="F22" s="13" t="inlineStr">
        <is>
          <t>A1_no_outline</t>
        </is>
      </c>
      <c r="G22" s="12" t="inlineStr">
        <is>
          <t>mshuriah2702@gmail.com</t>
        </is>
      </c>
      <c r="H22" s="14" t="n">
        <v>1</v>
      </c>
      <c r="I22" s="13" t="n">
        <v>4</v>
      </c>
      <c r="J22" s="15" t="n">
        <v>46266.92337354166</v>
      </c>
      <c r="K22" s="16" t="n">
        <v>0.1</v>
      </c>
      <c r="L22" s="13" t="n">
        <v>2</v>
      </c>
      <c r="M22" s="13" t="n">
        <v>3</v>
      </c>
      <c r="N22" s="13" t="n">
        <v>1</v>
      </c>
      <c r="O22" s="13" t="inlineStr">
        <is>
          <t>ali@meridian.ai</t>
        </is>
      </c>
      <c r="P22" s="13" t="b">
        <v>1</v>
      </c>
      <c r="Q22" s="13" t="n">
        <v>9371</v>
      </c>
      <c r="R22" s="13" t="n"/>
      <c r="S22" s="13" t="n">
        <v>19</v>
      </c>
      <c r="T22" s="13" t="n">
        <v>1068</v>
      </c>
      <c r="U22" s="13" t="n">
        <v>3059</v>
      </c>
      <c r="V22" s="13" t="b">
        <v>1</v>
      </c>
      <c r="W22" s="13" t="inlineStr">
        <is>
          <t>6a9e8983 N-1.xlsx</t>
        </is>
      </c>
      <c r="X22" s="13" t="n">
        <v>1399</v>
      </c>
      <c r="Y22" s="13" t="inlineStr">
        <is>
          <t>6a9e8983.xlsx</t>
        </is>
      </c>
      <c r="Z22" s="13" t="n">
        <v>1509</v>
      </c>
      <c r="AA22" s="13" t="b">
        <v>0</v>
      </c>
      <c r="AB22" s="13" t="b">
        <v>0</v>
      </c>
      <c r="AC22" s="13" t="b">
        <v>0</v>
      </c>
      <c r="AD22" s="13" t="n">
        <v>2</v>
      </c>
      <c r="AE22" s="13" t="n">
        <v>1</v>
      </c>
      <c r="AF22" s="13" t="inlineStr">
        <is>
          <t>completed</t>
        </is>
      </c>
      <c r="AG22" s="17" t="n">
        <v>547503</v>
      </c>
      <c r="AH22" s="17" t="n">
        <v>11701</v>
      </c>
      <c r="AI22" s="13" t="inlineStr"/>
      <c r="AJ22" s="13" t="inlineStr">
        <is>
          <t>218a5a0c-0db0-42ac-83bf-a147c71a322f</t>
        </is>
      </c>
      <c r="AK22" s="13" t="inlineStr">
        <is>
          <t>d010dfa4-e4d0-42a5-a7f6-a3ef1e58e0e9</t>
        </is>
      </c>
    </row>
    <row r="23" ht="78" customHeight="1">
      <c r="A23" s="20" t="inlineStr">
        <is>
          <t>c4ed90cb</t>
        </is>
      </c>
      <c r="B23" s="21" t="inlineStr">
        <is>
          <t>Regenerated twice today (failed loudly at 22:59, succeeded at 00:02) - outline now 6005 chars (was 46)</t>
        </is>
      </c>
      <c r="C23" s="21" t="inlineStr">
        <is>
          <t>APPROVE to generating_prompt.</t>
        </is>
      </c>
      <c r="D23" s="12" t="inlineStr"/>
      <c r="E23" s="12" t="inlineStr">
        <is>
          <t>18 bullets, 6005 chars. Last run 177,709 in / 7,916 out.</t>
        </is>
      </c>
      <c r="F23" s="13" t="inlineStr">
        <is>
          <t>B_thin_outline</t>
        </is>
      </c>
      <c r="G23" s="12" t="inlineStr">
        <is>
          <t>apathy@uchicago.edu</t>
        </is>
      </c>
      <c r="H23" s="14" t="n">
        <v>0.556</v>
      </c>
      <c r="I23" s="13" t="n">
        <v>9</v>
      </c>
      <c r="J23" s="15" t="n">
        <v>46267.00382295139</v>
      </c>
      <c r="K23" s="16" t="n">
        <v>0</v>
      </c>
      <c r="L23" s="13" t="n">
        <v>2</v>
      </c>
      <c r="M23" s="13" t="n">
        <v>5</v>
      </c>
      <c r="N23" s="13" t="n">
        <v>2</v>
      </c>
      <c r="O23" s="13" t="inlineStr">
        <is>
          <t>ali@meridian.ai</t>
        </is>
      </c>
      <c r="P23" s="13" t="b">
        <v>1</v>
      </c>
      <c r="Q23" s="13" t="n">
        <v>6005</v>
      </c>
      <c r="R23" s="13" t="n">
        <v>46</v>
      </c>
      <c r="S23" s="13" t="n">
        <v>18</v>
      </c>
      <c r="T23" s="13" t="n">
        <v>44</v>
      </c>
      <c r="U23" s="13" t="n">
        <v>2828</v>
      </c>
      <c r="V23" s="13" t="b">
        <v>0</v>
      </c>
      <c r="W23" s="13" t="inlineStr">
        <is>
          <t>bbe-N-4.xlsx</t>
        </is>
      </c>
      <c r="X23" s="13" t="n">
        <v>817</v>
      </c>
      <c r="Y23" s="13" t="inlineStr">
        <is>
          <t>bbe-N-3.xlsx</t>
        </is>
      </c>
      <c r="Z23" s="13" t="n">
        <v>874</v>
      </c>
      <c r="AA23" s="13" t="b">
        <v>0</v>
      </c>
      <c r="AB23" s="13" t="b">
        <v>0</v>
      </c>
      <c r="AC23" s="13" t="b">
        <v>0</v>
      </c>
      <c r="AD23" s="13" t="n">
        <v>3</v>
      </c>
      <c r="AE23" s="13" t="n">
        <v>1</v>
      </c>
      <c r="AF23" s="13" t="inlineStr">
        <is>
          <t>completed</t>
        </is>
      </c>
      <c r="AG23" s="17" t="n">
        <v>177709</v>
      </c>
      <c r="AH23" s="17" t="n">
        <v>7916</v>
      </c>
      <c r="AI23" s="13" t="inlineStr"/>
      <c r="AJ23" s="13" t="inlineStr"/>
      <c r="AK23" s="13" t="inlineStr">
        <is>
          <t>c4ed90cb-4e82-408b-82fa-f52a782f72d3</t>
        </is>
      </c>
    </row>
    <row r="24" ht="78" customHeight="1">
      <c r="A24" s="20" t="inlineStr">
        <is>
          <t>cfb56338</t>
        </is>
      </c>
      <c r="B24" s="21" t="inlineStr">
        <is>
          <t>Regenerated today - outline now present (first run was empty context, second run healthy)</t>
        </is>
      </c>
      <c r="C24" s="21" t="inlineStr">
        <is>
          <t>APPROVE to generating_prompt.</t>
        </is>
      </c>
      <c r="D24" s="12" t="inlineStr">
        <is>
          <t>Decomper prior: 100% of their SOTA-scored tasks came back too easy (n=4).</t>
        </is>
      </c>
      <c r="E24" s="12" t="inlineStr">
        <is>
          <t>9 bullets, 5506 chars. Last run 468,970 in / 11,380 out.</t>
        </is>
      </c>
      <c r="F24" s="13" t="inlineStr">
        <is>
          <t>A1_no_outline</t>
        </is>
      </c>
      <c r="G24" s="12" t="inlineStr">
        <is>
          <t>mshuriah2702@gmail.com</t>
        </is>
      </c>
      <c r="H24" s="14" t="n">
        <v>1</v>
      </c>
      <c r="I24" s="13" t="n">
        <v>4</v>
      </c>
      <c r="J24" s="15" t="n">
        <v>46266.91865012731</v>
      </c>
      <c r="K24" s="16" t="n">
        <v>0.1</v>
      </c>
      <c r="L24" s="13" t="n">
        <v>2</v>
      </c>
      <c r="M24" s="13" t="n">
        <v>3</v>
      </c>
      <c r="N24" s="13" t="n">
        <v>1</v>
      </c>
      <c r="O24" s="13" t="inlineStr">
        <is>
          <t>ali@meridian.ai</t>
        </is>
      </c>
      <c r="P24" s="13" t="b">
        <v>1</v>
      </c>
      <c r="Q24" s="13" t="n">
        <v>5506</v>
      </c>
      <c r="R24" s="13" t="n"/>
      <c r="S24" s="13" t="n">
        <v>9</v>
      </c>
      <c r="T24" s="13" t="n">
        <v>220</v>
      </c>
      <c r="U24" s="13" t="n">
        <v>2606</v>
      </c>
      <c r="V24" s="13" t="b">
        <v>0</v>
      </c>
      <c r="W24" s="13" t="inlineStr">
        <is>
          <t>6a9e8983 N-3.xlsx</t>
        </is>
      </c>
      <c r="X24" s="13" t="n">
        <v>1331</v>
      </c>
      <c r="Y24" s="13" t="inlineStr">
        <is>
          <t>6a9e8983 N-2.xlsx</t>
        </is>
      </c>
      <c r="Z24" s="13" t="n">
        <v>1372</v>
      </c>
      <c r="AA24" s="13" t="b">
        <v>0</v>
      </c>
      <c r="AB24" s="13" t="b">
        <v>0</v>
      </c>
      <c r="AC24" s="13" t="b">
        <v>0</v>
      </c>
      <c r="AD24" s="13" t="n">
        <v>2</v>
      </c>
      <c r="AE24" s="13" t="n">
        <v>1</v>
      </c>
      <c r="AF24" s="13" t="inlineStr">
        <is>
          <t>completed</t>
        </is>
      </c>
      <c r="AG24" s="17" t="n">
        <v>468970</v>
      </c>
      <c r="AH24" s="17" t="n">
        <v>11380</v>
      </c>
      <c r="AI24" s="13" t="inlineStr"/>
      <c r="AJ24" s="13" t="inlineStr"/>
      <c r="AK24" s="13" t="inlineStr">
        <is>
          <t>cfb56338-4a27-42d5-9e0d-9e59b2fa8640</t>
        </is>
      </c>
    </row>
    <row r="25" ht="78" customHeight="1">
      <c r="A25" s="20" t="inlineStr">
        <is>
          <t>1998a617</t>
        </is>
      </c>
      <c r="B25" s="21" t="inlineStr">
        <is>
          <t>Regenerated today - outline now present (first run was empty context, second run healthy)</t>
        </is>
      </c>
      <c r="C25" s="21" t="inlineStr">
        <is>
          <t>APPROVE to generating_prompt.</t>
        </is>
      </c>
      <c r="D25" s="12" t="inlineStr">
        <is>
          <t>Decomper prior: 100% of their SOTA-scored tasks came back too easy (n=2).</t>
        </is>
      </c>
      <c r="E25" s="12" t="inlineStr">
        <is>
          <t>17 bullets, 8355 chars. Last run 590,320 in / 10,687 out.</t>
        </is>
      </c>
      <c r="F25" s="13" t="inlineStr">
        <is>
          <t>A1_no_outline</t>
        </is>
      </c>
      <c r="G25" s="12" t="inlineStr">
        <is>
          <t>nimisha.mekala2021@gmail.com</t>
        </is>
      </c>
      <c r="H25" s="14" t="n">
        <v>1</v>
      </c>
      <c r="I25" s="13" t="n">
        <v>2</v>
      </c>
      <c r="J25" s="15" t="n">
        <v>46266.91776243055</v>
      </c>
      <c r="K25" s="16" t="n">
        <v>0.1</v>
      </c>
      <c r="L25" s="13" t="n">
        <v>2</v>
      </c>
      <c r="M25" s="13" t="n">
        <v>3</v>
      </c>
      <c r="N25" s="13" t="n">
        <v>1</v>
      </c>
      <c r="O25" s="13" t="inlineStr">
        <is>
          <t>ali@meridian.ai</t>
        </is>
      </c>
      <c r="P25" s="13" t="b">
        <v>1</v>
      </c>
      <c r="Q25" s="13" t="n">
        <v>8355</v>
      </c>
      <c r="R25" s="13" t="n"/>
      <c r="S25" s="13" t="n">
        <v>17</v>
      </c>
      <c r="T25" s="13" t="n">
        <v>255</v>
      </c>
      <c r="U25" s="13" t="n">
        <v>1856</v>
      </c>
      <c r="V25" s="13" t="b">
        <v>0</v>
      </c>
      <c r="W25" s="13" t="inlineStr">
        <is>
          <t>Fremont_ASCs_Merger_Model_v7.redacted-hygiene_N-4.xlsx</t>
        </is>
      </c>
      <c r="X25" s="13" t="n">
        <v>606</v>
      </c>
      <c r="Y25" s="13" t="inlineStr">
        <is>
          <t>Fremont_ASCs_Merger_Model_v7.redacted-hygiene_N-3.xlsx</t>
        </is>
      </c>
      <c r="Z25" s="13" t="n">
        <v>658</v>
      </c>
      <c r="AA25" s="13" t="b">
        <v>0</v>
      </c>
      <c r="AB25" s="13" t="b">
        <v>0</v>
      </c>
      <c r="AC25" s="13" t="b">
        <v>0</v>
      </c>
      <c r="AD25" s="13" t="n">
        <v>2</v>
      </c>
      <c r="AE25" s="13" t="n">
        <v>1</v>
      </c>
      <c r="AF25" s="13" t="inlineStr">
        <is>
          <t>completed</t>
        </is>
      </c>
      <c r="AG25" s="17" t="n">
        <v>590320</v>
      </c>
      <c r="AH25" s="17" t="n">
        <v>10687</v>
      </c>
      <c r="AI25" s="13" t="inlineStr"/>
      <c r="AJ25" s="13" t="inlineStr"/>
      <c r="AK25" s="13" t="inlineStr">
        <is>
          <t>1998a617-9037-46d2-912b-adfdb4441444</t>
        </is>
      </c>
    </row>
    <row r="26" ht="78" customHeight="1">
      <c r="A26" s="20" t="inlineStr">
        <is>
          <t>5da033e5</t>
        </is>
      </c>
      <c r="B26" s="21" t="inlineStr">
        <is>
          <t>Regenerated today - outline now present (first run was empty context, second run healthy)</t>
        </is>
      </c>
      <c r="C26" s="21" t="inlineStr">
        <is>
          <t>APPROVE to generating_prompt.</t>
        </is>
      </c>
      <c r="D26" s="12" t="inlineStr">
        <is>
          <t>Decomper prior: 86% of their SOTA-scored tasks came back too easy (n=28).</t>
        </is>
      </c>
      <c r="E26" s="12" t="inlineStr">
        <is>
          <t>9 bullets, 4421 chars. Last run 228,189 in / 4,614 out.</t>
        </is>
      </c>
      <c r="F26" s="13" t="inlineStr">
        <is>
          <t>A1_no_outline</t>
        </is>
      </c>
      <c r="G26" s="12" t="inlineStr">
        <is>
          <t>wangche2532@gmail.com</t>
        </is>
      </c>
      <c r="H26" s="14" t="n">
        <v>0.857</v>
      </c>
      <c r="I26" s="13" t="n">
        <v>28</v>
      </c>
      <c r="J26" s="15" t="n">
        <v>46266.91584765046</v>
      </c>
      <c r="K26" s="16" t="n">
        <v>0.1</v>
      </c>
      <c r="L26" s="13" t="n">
        <v>2</v>
      </c>
      <c r="M26" s="13" t="n">
        <v>3</v>
      </c>
      <c r="N26" s="13" t="n">
        <v>1</v>
      </c>
      <c r="O26" s="13" t="inlineStr">
        <is>
          <t>ali@meridian.ai</t>
        </is>
      </c>
      <c r="P26" s="13" t="b">
        <v>1</v>
      </c>
      <c r="Q26" s="13" t="n">
        <v>4421</v>
      </c>
      <c r="R26" s="13" t="n"/>
      <c r="S26" s="13" t="n">
        <v>9</v>
      </c>
      <c r="T26" s="13" t="n">
        <v>151</v>
      </c>
      <c r="U26" s="13" t="n">
        <v>1645</v>
      </c>
      <c r="V26" s="13" t="b">
        <v>0</v>
      </c>
      <c r="W26" s="13" t="inlineStr">
        <is>
          <t>08.30_40 N-4.xlsx</t>
        </is>
      </c>
      <c r="X26" s="13" t="n">
        <v>188</v>
      </c>
      <c r="Y26" s="13" t="inlineStr">
        <is>
          <t>08.30_40 N-3.xlsx</t>
        </is>
      </c>
      <c r="Z26" s="13" t="n">
        <v>231</v>
      </c>
      <c r="AA26" s="13" t="b">
        <v>0</v>
      </c>
      <c r="AB26" s="13" t="b">
        <v>0</v>
      </c>
      <c r="AC26" s="13" t="b">
        <v>0</v>
      </c>
      <c r="AD26" s="13" t="n">
        <v>2</v>
      </c>
      <c r="AE26" s="13" t="n">
        <v>1</v>
      </c>
      <c r="AF26" s="13" t="inlineStr">
        <is>
          <t>completed</t>
        </is>
      </c>
      <c r="AG26" s="17" t="n">
        <v>228189</v>
      </c>
      <c r="AH26" s="17" t="n">
        <v>4614</v>
      </c>
      <c r="AI26" s="13" t="inlineStr"/>
      <c r="AJ26" s="13" t="inlineStr"/>
      <c r="AK26" s="13" t="inlineStr">
        <is>
          <t>5da033e5-0b26-4526-afaf-8e71e57612a4</t>
        </is>
      </c>
    </row>
    <row r="27" ht="78" customHeight="1">
      <c r="A27" s="20" t="inlineStr">
        <is>
          <t>27b833b2</t>
        </is>
      </c>
      <c r="B27" s="21" t="inlineStr">
        <is>
          <t>Regenerated today - outline now present (first run was empty context, second run healthy)</t>
        </is>
      </c>
      <c r="C27" s="21" t="inlineStr">
        <is>
          <t>APPROVE to generating_prompt.</t>
        </is>
      </c>
      <c r="D27" s="12" t="inlineStr">
        <is>
          <t>Decomper prior: 100% of their SOTA-scored tasks came back too easy (n=4).</t>
        </is>
      </c>
      <c r="E27" s="12" t="inlineStr">
        <is>
          <t>22 bullets, 6379 chars. Last run 364,933 in / 10,263 out.</t>
        </is>
      </c>
      <c r="F27" s="13" t="inlineStr">
        <is>
          <t>A1_no_outline</t>
        </is>
      </c>
      <c r="G27" s="12" t="inlineStr">
        <is>
          <t>mshuriah2702@gmail.com</t>
        </is>
      </c>
      <c r="H27" s="14" t="n">
        <v>1</v>
      </c>
      <c r="I27" s="13" t="n">
        <v>4</v>
      </c>
      <c r="J27" s="15" t="n">
        <v>46266.91820099537</v>
      </c>
      <c r="K27" s="16" t="n">
        <v>0.1</v>
      </c>
      <c r="L27" s="13" t="n">
        <v>2</v>
      </c>
      <c r="M27" s="13" t="n">
        <v>3</v>
      </c>
      <c r="N27" s="13" t="n">
        <v>1</v>
      </c>
      <c r="O27" s="13" t="inlineStr">
        <is>
          <t>ali@meridian.ai</t>
        </is>
      </c>
      <c r="P27" s="13" t="b">
        <v>1</v>
      </c>
      <c r="Q27" s="13" t="n">
        <v>6379</v>
      </c>
      <c r="R27" s="13" t="n"/>
      <c r="S27" s="13" t="n">
        <v>22</v>
      </c>
      <c r="T27" s="13" t="n">
        <v>286</v>
      </c>
      <c r="U27" s="13" t="n">
        <v>1645</v>
      </c>
      <c r="V27" s="13" t="b">
        <v>0</v>
      </c>
      <c r="W27" s="13" t="inlineStr">
        <is>
          <t>6a9e8983 N-2.xlsx</t>
        </is>
      </c>
      <c r="X27" s="13" t="n">
        <v>1372</v>
      </c>
      <c r="Y27" s="13" t="inlineStr">
        <is>
          <t>6a9e8983 N-1.xlsx</t>
        </is>
      </c>
      <c r="Z27" s="13" t="n">
        <v>1399</v>
      </c>
      <c r="AA27" s="13" t="b">
        <v>0</v>
      </c>
      <c r="AB27" s="13" t="b">
        <v>0</v>
      </c>
      <c r="AC27" s="13" t="b">
        <v>0</v>
      </c>
      <c r="AD27" s="13" t="n">
        <v>2</v>
      </c>
      <c r="AE27" s="13" t="n">
        <v>1</v>
      </c>
      <c r="AF27" s="13" t="inlineStr">
        <is>
          <t>completed</t>
        </is>
      </c>
      <c r="AG27" s="17" t="n">
        <v>364933</v>
      </c>
      <c r="AH27" s="17" t="n">
        <v>10263</v>
      </c>
      <c r="AI27" s="13" t="inlineStr"/>
      <c r="AJ27" s="13" t="inlineStr"/>
      <c r="AK27" s="13" t="inlineStr">
        <is>
          <t>27b833b2-b759-439b-aa91-db78616e22b8</t>
        </is>
      </c>
    </row>
    <row r="28" ht="78" customHeight="1">
      <c r="A28" s="20" t="inlineStr">
        <is>
          <t>c4ba7c97</t>
        </is>
      </c>
      <c r="B28" s="21" t="inlineStr">
        <is>
          <t>Regenerated today - outline now present (first run was empty context, second run healthy)</t>
        </is>
      </c>
      <c r="C28" s="21" t="inlineStr">
        <is>
          <t>APPROVE to generating_prompt.</t>
        </is>
      </c>
      <c r="D28" s="12" t="inlineStr">
        <is>
          <t>Decomper prior: 86% of their SOTA-scored tasks came back too easy (n=28).</t>
        </is>
      </c>
      <c r="E28" s="12" t="inlineStr">
        <is>
          <t>11 bullets, 6347 chars. Last run 186,191 in / 7,049 out.</t>
        </is>
      </c>
      <c r="F28" s="13" t="inlineStr">
        <is>
          <t>A1_no_outline</t>
        </is>
      </c>
      <c r="G28" s="12" t="inlineStr">
        <is>
          <t>wangche2532@gmail.com</t>
        </is>
      </c>
      <c r="H28" s="14" t="n">
        <v>0.857</v>
      </c>
      <c r="I28" s="13" t="n">
        <v>28</v>
      </c>
      <c r="J28" s="15" t="n">
        <v>46266.91637259259</v>
      </c>
      <c r="K28" s="16" t="n">
        <v>0.1</v>
      </c>
      <c r="L28" s="13" t="n">
        <v>2</v>
      </c>
      <c r="M28" s="13" t="n">
        <v>3</v>
      </c>
      <c r="N28" s="13" t="n">
        <v>1</v>
      </c>
      <c r="O28" s="13" t="inlineStr">
        <is>
          <t>ali@meridian.ai</t>
        </is>
      </c>
      <c r="P28" s="13" t="b">
        <v>1</v>
      </c>
      <c r="Q28" s="13" t="n">
        <v>6347</v>
      </c>
      <c r="R28" s="13" t="n"/>
      <c r="S28" s="13" t="n">
        <v>11</v>
      </c>
      <c r="T28" s="13" t="n">
        <v>56</v>
      </c>
      <c r="U28" s="13" t="n">
        <v>1635</v>
      </c>
      <c r="V28" s="13" t="b">
        <v>1</v>
      </c>
      <c r="W28" s="13" t="inlineStr">
        <is>
          <t>08.30_24 N-1.xlsx</t>
        </is>
      </c>
      <c r="X28" s="13" t="n">
        <v>263</v>
      </c>
      <c r="Y28" s="13" t="inlineStr">
        <is>
          <t>08.30_24 N.xlsx</t>
        </is>
      </c>
      <c r="Z28" s="13" t="n">
        <v>282</v>
      </c>
      <c r="AA28" s="13" t="b">
        <v>0</v>
      </c>
      <c r="AB28" s="13" t="b">
        <v>0</v>
      </c>
      <c r="AC28" s="13" t="b">
        <v>0</v>
      </c>
      <c r="AD28" s="13" t="n">
        <v>2</v>
      </c>
      <c r="AE28" s="13" t="n">
        <v>1</v>
      </c>
      <c r="AF28" s="13" t="inlineStr">
        <is>
          <t>completed</t>
        </is>
      </c>
      <c r="AG28" s="17" t="n">
        <v>186191</v>
      </c>
      <c r="AH28" s="17" t="n">
        <v>7049</v>
      </c>
      <c r="AI28" s="13" t="inlineStr"/>
      <c r="AJ28" s="13" t="inlineStr">
        <is>
          <t>6fe4dc2b-58b3-490f-a9fe-d87c28bf0273</t>
        </is>
      </c>
      <c r="AK28" s="13" t="inlineStr">
        <is>
          <t>c4ba7c97-5f2e-4e3e-8f63-3d68539868bc</t>
        </is>
      </c>
    </row>
    <row r="29" ht="78" customHeight="1">
      <c r="A29" s="20" t="inlineStr">
        <is>
          <t>92b20cff</t>
        </is>
      </c>
      <c r="B29" s="21" t="inlineStr">
        <is>
          <t>Regenerated today - outline now present (first run was empty context, second run healthy)</t>
        </is>
      </c>
      <c r="C29" s="21" t="inlineStr">
        <is>
          <t>APPROVE to generating_prompt.</t>
        </is>
      </c>
      <c r="D29" s="12" t="inlineStr">
        <is>
          <t>Decomper prior: 88% of their SOTA-scored tasks came back too easy (n=16).</t>
        </is>
      </c>
      <c r="E29" s="12" t="inlineStr">
        <is>
          <t>22 bullets, 9093 chars. Last run 488,250 in / 11,776 out.</t>
        </is>
      </c>
      <c r="F29" s="13" t="inlineStr">
        <is>
          <t>A1_no_outline</t>
        </is>
      </c>
      <c r="G29" s="12" t="inlineStr">
        <is>
          <t>infinitearbitrage@gmail.com</t>
        </is>
      </c>
      <c r="H29" s="14" t="n">
        <v>0.875</v>
      </c>
      <c r="I29" s="13" t="n">
        <v>16</v>
      </c>
      <c r="J29" s="15" t="n">
        <v>46266.91714670139</v>
      </c>
      <c r="K29" s="16" t="n">
        <v>0.1</v>
      </c>
      <c r="L29" s="13" t="n">
        <v>2</v>
      </c>
      <c r="M29" s="13" t="n">
        <v>3</v>
      </c>
      <c r="N29" s="13" t="n">
        <v>1</v>
      </c>
      <c r="O29" s="13" t="inlineStr">
        <is>
          <t>ali@meridian.ai</t>
        </is>
      </c>
      <c r="P29" s="13" t="b">
        <v>1</v>
      </c>
      <c r="Q29" s="13" t="n">
        <v>9093</v>
      </c>
      <c r="R29" s="13" t="n"/>
      <c r="S29" s="13" t="n">
        <v>22</v>
      </c>
      <c r="T29" s="13" t="n">
        <v>84</v>
      </c>
      <c r="U29" s="13" t="n">
        <v>1598</v>
      </c>
      <c r="V29" s="13" t="b">
        <v>1</v>
      </c>
      <c r="W29" s="13" t="inlineStr">
        <is>
          <t>08.29_28 N-1.xlsx</t>
        </is>
      </c>
      <c r="X29" s="13" t="n">
        <v>274</v>
      </c>
      <c r="Y29" s="13" t="inlineStr">
        <is>
          <t>08.29_28.xlsx</t>
        </is>
      </c>
      <c r="Z29" s="13" t="n">
        <v>320</v>
      </c>
      <c r="AA29" s="13" t="b">
        <v>0</v>
      </c>
      <c r="AB29" s="13" t="b">
        <v>0</v>
      </c>
      <c r="AC29" s="13" t="b">
        <v>0</v>
      </c>
      <c r="AD29" s="13" t="n">
        <v>2</v>
      </c>
      <c r="AE29" s="13" t="n">
        <v>1</v>
      </c>
      <c r="AF29" s="13" t="inlineStr">
        <is>
          <t>completed</t>
        </is>
      </c>
      <c r="AG29" s="17" t="n">
        <v>488250</v>
      </c>
      <c r="AH29" s="17" t="n">
        <v>11776</v>
      </c>
      <c r="AI29" s="13" t="inlineStr"/>
      <c r="AJ29" s="13" t="inlineStr">
        <is>
          <t>54b24e89-72a3-4a17-aacf-2160406784d8</t>
        </is>
      </c>
      <c r="AK29" s="13" t="inlineStr">
        <is>
          <t>92b20cff-2188-474c-b966-e33ada1437ee</t>
        </is>
      </c>
    </row>
    <row r="30" ht="78" customHeight="1">
      <c r="A30" s="20" t="inlineStr">
        <is>
          <t>5961c436</t>
        </is>
      </c>
      <c r="B30" s="21" t="inlineStr">
        <is>
          <t>Regenerated twice today (failed loudly at 22:59, succeeded at 00:02) - outline now 10121 chars (was 892)</t>
        </is>
      </c>
      <c r="C30" s="21" t="inlineStr">
        <is>
          <t>APPROVE to generating_prompt. Strip the summary/meta bullets first.</t>
        </is>
      </c>
      <c r="D30" s="12" t="inlineStr">
        <is>
          <t>4 summary bullets at the top (tab list, per-tab change notes) before the build steps; strip them. One bullet lists 46 hardcoded monthly seed values verbatim; harmless but long. Decomper prior: 86% of their SOTA-scored tasks came back too easy (n=28).</t>
        </is>
      </c>
      <c r="E30" s="12" t="inlineStr">
        <is>
          <t>13 bullets, 10121 chars. Last run 382,469 in / 10,257 out.</t>
        </is>
      </c>
      <c r="F30" s="13" t="inlineStr">
        <is>
          <t>B_thin_outline</t>
        </is>
      </c>
      <c r="G30" s="12" t="inlineStr">
        <is>
          <t>wangche2532@gmail.com</t>
        </is>
      </c>
      <c r="H30" s="14" t="n">
        <v>0.857</v>
      </c>
      <c r="I30" s="13" t="n">
        <v>28</v>
      </c>
      <c r="J30" s="15" t="n">
        <v>46267.0055096412</v>
      </c>
      <c r="K30" s="16" t="n">
        <v>0</v>
      </c>
      <c r="L30" s="13" t="n">
        <v>2</v>
      </c>
      <c r="M30" s="13" t="n">
        <v>5</v>
      </c>
      <c r="N30" s="13" t="n">
        <v>2</v>
      </c>
      <c r="O30" s="13" t="inlineStr">
        <is>
          <t>ali@meridian.ai</t>
        </is>
      </c>
      <c r="P30" s="13" t="b">
        <v>1</v>
      </c>
      <c r="Q30" s="13" t="n">
        <v>10121</v>
      </c>
      <c r="R30" s="13" t="n">
        <v>892</v>
      </c>
      <c r="S30" s="13" t="n">
        <v>13</v>
      </c>
      <c r="T30" s="13" t="n">
        <v>195</v>
      </c>
      <c r="U30" s="13" t="n">
        <v>1330</v>
      </c>
      <c r="V30" s="13" t="b">
        <v>1</v>
      </c>
      <c r="W30" s="13" t="inlineStr">
        <is>
          <t>08.30_21 N-1.xlsx</t>
        </is>
      </c>
      <c r="X30" s="13" t="n">
        <v>1397</v>
      </c>
      <c r="Y30" s="13" t="inlineStr">
        <is>
          <t>08.30_21 N.xlsx</t>
        </is>
      </c>
      <c r="Z30" s="13" t="n">
        <v>1446</v>
      </c>
      <c r="AA30" s="13" t="b">
        <v>0</v>
      </c>
      <c r="AB30" s="13" t="b">
        <v>0</v>
      </c>
      <c r="AC30" s="13" t="b">
        <v>0</v>
      </c>
      <c r="AD30" s="13" t="n">
        <v>3</v>
      </c>
      <c r="AE30" s="13" t="n">
        <v>1</v>
      </c>
      <c r="AF30" s="13" t="inlineStr">
        <is>
          <t>completed</t>
        </is>
      </c>
      <c r="AG30" s="17" t="n">
        <v>382469</v>
      </c>
      <c r="AH30" s="17" t="n">
        <v>10257</v>
      </c>
      <c r="AI30" s="13" t="inlineStr"/>
      <c r="AJ30" s="13" t="inlineStr">
        <is>
          <t>33471211-ec23-4812-aea8-b2f3c7fba27d</t>
        </is>
      </c>
      <c r="AK30" s="13" t="inlineStr">
        <is>
          <t>5961c436-e583-4000-ad25-cc8e11a634ae</t>
        </is>
      </c>
    </row>
    <row r="31" ht="78" customHeight="1">
      <c r="A31" s="20" t="inlineStr">
        <is>
          <t>0e3f0394</t>
        </is>
      </c>
      <c r="B31" s="21" t="inlineStr">
        <is>
          <t>Regenerated today - outline now present (first run was empty context, second run healthy)</t>
        </is>
      </c>
      <c r="C31" s="21" t="inlineStr">
        <is>
          <t>APPROVE to generating_prompt. Strip the summary/meta bullets first.</t>
        </is>
      </c>
      <c r="D31" s="12" t="inlineStr">
        <is>
          <t>5 summary bullets at the top (per-tab change notes) before the build steps; strip them.</t>
        </is>
      </c>
      <c r="E31" s="12" t="inlineStr">
        <is>
          <t>16 bullets, 9135 chars. Last run 231,844 in / 8,360 out.</t>
        </is>
      </c>
      <c r="F31" s="13" t="inlineStr">
        <is>
          <t>A1_no_outline</t>
        </is>
      </c>
      <c r="G31" s="12" t="inlineStr">
        <is>
          <t>sophie.xiao@toptal.com</t>
        </is>
      </c>
      <c r="H31" s="14" t="n">
        <v>0</v>
      </c>
      <c r="I31" s="13" t="n">
        <v>8</v>
      </c>
      <c r="J31" s="15" t="n">
        <v>46266.91650104167</v>
      </c>
      <c r="K31" s="16" t="n">
        <v>0.1</v>
      </c>
      <c r="L31" s="13" t="n">
        <v>2</v>
      </c>
      <c r="M31" s="13" t="n">
        <v>3</v>
      </c>
      <c r="N31" s="13" t="n">
        <v>1</v>
      </c>
      <c r="O31" s="13" t="inlineStr">
        <is>
          <t>ali@meridian.ai</t>
        </is>
      </c>
      <c r="P31" s="13" t="b">
        <v>1</v>
      </c>
      <c r="Q31" s="13" t="n">
        <v>9135</v>
      </c>
      <c r="R31" s="13" t="n"/>
      <c r="S31" s="13" t="n">
        <v>16</v>
      </c>
      <c r="T31" s="13" t="n">
        <v>80</v>
      </c>
      <c r="U31" s="13" t="n">
        <v>1221</v>
      </c>
      <c r="V31" s="13" t="b">
        <v>0</v>
      </c>
      <c r="W31" s="13" t="inlineStr">
        <is>
          <t>08.31_50 N-3.xlsx</t>
        </is>
      </c>
      <c r="X31" s="13" t="n">
        <v>430</v>
      </c>
      <c r="Y31" s="13" t="inlineStr">
        <is>
          <t>08.31_50 N-2 new.xlsx</t>
        </is>
      </c>
      <c r="Z31" s="13" t="n">
        <v>451</v>
      </c>
      <c r="AA31" s="13" t="b">
        <v>0</v>
      </c>
      <c r="AB31" s="13" t="b">
        <v>0</v>
      </c>
      <c r="AC31" s="13" t="b">
        <v>0</v>
      </c>
      <c r="AD31" s="13" t="n">
        <v>2</v>
      </c>
      <c r="AE31" s="13" t="n">
        <v>1</v>
      </c>
      <c r="AF31" s="13" t="inlineStr">
        <is>
          <t>completed</t>
        </is>
      </c>
      <c r="AG31" s="17" t="n">
        <v>231844</v>
      </c>
      <c r="AH31" s="17" t="n">
        <v>8360</v>
      </c>
      <c r="AI31" s="13" t="inlineStr"/>
      <c r="AJ31" s="13" t="inlineStr"/>
      <c r="AK31" s="13" t="inlineStr">
        <is>
          <t>0e3f0394-b3e2-4e6c-836e-704eff6c48e2</t>
        </is>
      </c>
    </row>
    <row r="32" ht="78" customHeight="1">
      <c r="A32" s="20" t="inlineStr">
        <is>
          <t>f3efbb17</t>
        </is>
      </c>
      <c r="B32" s="21" t="inlineStr">
        <is>
          <t>New arrival - first visit, healthy agent run, outline present</t>
        </is>
      </c>
      <c r="C32" s="21" t="inlineStr">
        <is>
          <t>APPROVE to generating_prompt.</t>
        </is>
      </c>
      <c r="D32" s="12" t="inlineStr">
        <is>
          <t>Decomper prior: 86% of their SOTA-scored tasks came back too easy (n=28).</t>
        </is>
      </c>
      <c r="E32" s="12" t="inlineStr">
        <is>
          <t>12 bullets, 9869 chars. Last run 144,623 in / 8,132 out.</t>
        </is>
      </c>
      <c r="F32" s="13" t="inlineStr">
        <is>
          <t>NEW (arrived after the triage snapshot)</t>
        </is>
      </c>
      <c r="G32" s="12" t="inlineStr">
        <is>
          <t>wangche2532@gmail.com</t>
        </is>
      </c>
      <c r="H32" s="14" t="n">
        <v>0.857</v>
      </c>
      <c r="I32" s="13" t="n">
        <v>28</v>
      </c>
      <c r="J32" s="15" t="n">
        <v>46266.99892550926</v>
      </c>
      <c r="K32" s="16" t="n">
        <v>0</v>
      </c>
      <c r="L32" s="13" t="n">
        <v>1</v>
      </c>
      <c r="M32" s="13" t="n">
        <v>2</v>
      </c>
      <c r="N32" s="13" t="n">
        <v>0</v>
      </c>
      <c r="O32" s="13" t="inlineStr"/>
      <c r="P32" s="13" t="b">
        <v>1</v>
      </c>
      <c r="Q32" s="13" t="n">
        <v>9869</v>
      </c>
      <c r="R32" s="13" t="n"/>
      <c r="S32" s="13" t="n">
        <v>12</v>
      </c>
      <c r="T32" s="13" t="n">
        <v>331</v>
      </c>
      <c r="U32" s="13" t="n">
        <v>1206</v>
      </c>
      <c r="V32" s="13" t="b">
        <v>1</v>
      </c>
      <c r="W32" s="13" t="inlineStr">
        <is>
          <t>08.31_47 N-1.xlsx</t>
        </is>
      </c>
      <c r="X32" s="13" t="n">
        <v>260</v>
      </c>
      <c r="Y32" s="13" t="inlineStr">
        <is>
          <t>08.31_47 N.xlsx</t>
        </is>
      </c>
      <c r="Z32" s="13" t="n">
        <v>307</v>
      </c>
      <c r="AA32" s="13" t="b">
        <v>0</v>
      </c>
      <c r="AB32" s="13" t="b">
        <v>0</v>
      </c>
      <c r="AC32" s="13" t="b">
        <v>0</v>
      </c>
      <c r="AD32" s="13" t="n">
        <v>1</v>
      </c>
      <c r="AE32" s="13" t="n">
        <v>0</v>
      </c>
      <c r="AF32" s="13" t="inlineStr">
        <is>
          <t>completed</t>
        </is>
      </c>
      <c r="AG32" s="17" t="n">
        <v>144623</v>
      </c>
      <c r="AH32" s="17" t="n">
        <v>8132</v>
      </c>
      <c r="AI32" s="13" t="inlineStr"/>
      <c r="AJ32" s="13" t="inlineStr">
        <is>
          <t>2e65b7ae-9888-4bf7-99e7-ee2f3541c122</t>
        </is>
      </c>
      <c r="AK32" s="13" t="inlineStr">
        <is>
          <t>f3efbb17-561b-44a2-8f87-28e2abf47f9f</t>
        </is>
      </c>
    </row>
    <row r="33" ht="78" customHeight="1">
      <c r="A33" s="20" t="inlineStr">
        <is>
          <t>fa5950c9</t>
        </is>
      </c>
      <c r="B33" s="21" t="inlineStr">
        <is>
          <t>Regenerated twice today (failed loudly at 22:59, succeeded at 00:02) - outline now 7081 chars (was 517)</t>
        </is>
      </c>
      <c r="C33" s="21" t="inlineStr">
        <is>
          <t>APPROVE to generating_prompt. Strip the summary/meta bullets first.</t>
        </is>
      </c>
      <c r="D33" s="12" t="inlineStr">
        <is>
          <t>6 summary bullets at the top (tab list tagged "(heavy)") before the build steps; strip them. Decomper prior: 86% of their SOTA-scored tasks came back too easy (n=28).</t>
        </is>
      </c>
      <c r="E33" s="12" t="inlineStr">
        <is>
          <t>15 bullets, 7081 chars. Last run 314,331 in / 8,762 out.</t>
        </is>
      </c>
      <c r="F33" s="13" t="inlineStr">
        <is>
          <t>B_thin_outline</t>
        </is>
      </c>
      <c r="G33" s="12" t="inlineStr">
        <is>
          <t>wangche2532@gmail.com</t>
        </is>
      </c>
      <c r="H33" s="14" t="n">
        <v>0.857</v>
      </c>
      <c r="I33" s="13" t="n">
        <v>28</v>
      </c>
      <c r="J33" s="15" t="n">
        <v>46266.95800100695</v>
      </c>
      <c r="K33" s="16" t="n">
        <v>0</v>
      </c>
      <c r="L33" s="13" t="n">
        <v>2</v>
      </c>
      <c r="M33" s="13" t="n">
        <v>4</v>
      </c>
      <c r="N33" s="13" t="n">
        <v>1</v>
      </c>
      <c r="O33" s="13" t="inlineStr">
        <is>
          <t>ali@meridian.ai</t>
        </is>
      </c>
      <c r="P33" s="13" t="b">
        <v>1</v>
      </c>
      <c r="Q33" s="13" t="n">
        <v>7081</v>
      </c>
      <c r="R33" s="13" t="n">
        <v>517</v>
      </c>
      <c r="S33" s="13" t="n">
        <v>15</v>
      </c>
      <c r="T33" s="13" t="n">
        <v>154</v>
      </c>
      <c r="U33" s="13" t="n">
        <v>1106</v>
      </c>
      <c r="V33" s="13" t="b">
        <v>1</v>
      </c>
      <c r="W33" s="13" t="inlineStr">
        <is>
          <t>08.30_37 N-1.xlsx</t>
        </is>
      </c>
      <c r="X33" s="13" t="n">
        <v>565</v>
      </c>
      <c r="Y33" s="13" t="inlineStr">
        <is>
          <t>08.30_37 N.xlsx</t>
        </is>
      </c>
      <c r="Z33" s="13" t="n">
        <v>585</v>
      </c>
      <c r="AA33" s="13" t="b">
        <v>0</v>
      </c>
      <c r="AB33" s="13" t="b">
        <v>0</v>
      </c>
      <c r="AC33" s="13" t="b">
        <v>0</v>
      </c>
      <c r="AD33" s="13" t="n">
        <v>2</v>
      </c>
      <c r="AE33" s="13" t="n">
        <v>1</v>
      </c>
      <c r="AF33" s="13" t="inlineStr">
        <is>
          <t>completed</t>
        </is>
      </c>
      <c r="AG33" s="17" t="n">
        <v>314331</v>
      </c>
      <c r="AH33" s="17" t="n">
        <v>8762</v>
      </c>
      <c r="AI33" s="13" t="inlineStr"/>
      <c r="AJ33" s="13" t="inlineStr">
        <is>
          <t>e2ee0dfe-ea7c-4a12-9941-7407a0e86152</t>
        </is>
      </c>
      <c r="AK33" s="13" t="inlineStr">
        <is>
          <t>fa5950c9-4c71-4406-83bf-8fd81fc6ff67</t>
        </is>
      </c>
    </row>
    <row r="34" ht="78" customHeight="1">
      <c r="A34" s="20" t="inlineStr">
        <is>
          <t>79036bd8</t>
        </is>
      </c>
      <c r="B34" s="21" t="inlineStr">
        <is>
          <t>Regenerated twice today (failed loudly at 22:59, succeeded at 00:02) - outline now 8908 chars (was 5975)</t>
        </is>
      </c>
      <c r="C34" s="21" t="inlineStr">
        <is>
          <t>APPROVE to generating_prompt.</t>
        </is>
      </c>
      <c r="D34" s="12" t="inlineStr"/>
      <c r="E34" s="12" t="inlineStr">
        <is>
          <t>14 bullets, 8908 chars. Last run 172,748 in / 7,165 out.</t>
        </is>
      </c>
      <c r="F34" s="13" t="inlineStr">
        <is>
          <t>C_truncated_outline</t>
        </is>
      </c>
      <c r="G34" s="12" t="inlineStr">
        <is>
          <t>alec.tseung@toptal.com</t>
        </is>
      </c>
      <c r="H34" s="14" t="n"/>
      <c r="I34" s="13" t="n">
        <v>0</v>
      </c>
      <c r="J34" s="15" t="n">
        <v>46266.95669070602</v>
      </c>
      <c r="K34" s="16" t="n">
        <v>0</v>
      </c>
      <c r="L34" s="13" t="n">
        <v>2</v>
      </c>
      <c r="M34" s="13" t="n">
        <v>4</v>
      </c>
      <c r="N34" s="13" t="n">
        <v>1</v>
      </c>
      <c r="O34" s="13" t="inlineStr">
        <is>
          <t>ali@meridian.ai</t>
        </is>
      </c>
      <c r="P34" s="13" t="b">
        <v>1</v>
      </c>
      <c r="Q34" s="13" t="n">
        <v>8908</v>
      </c>
      <c r="R34" s="13" t="n">
        <v>5975</v>
      </c>
      <c r="S34" s="13" t="n">
        <v>14</v>
      </c>
      <c r="T34" s="13" t="n">
        <v>52</v>
      </c>
      <c r="U34" s="13" t="n">
        <v>1061</v>
      </c>
      <c r="V34" s="13" t="b">
        <v>0</v>
      </c>
      <c r="W34" s="13" t="inlineStr">
        <is>
          <t>08.27_141_N-2.xlsx</t>
        </is>
      </c>
      <c r="X34" s="13" t="n">
        <v>32</v>
      </c>
      <c r="Y34" s="13" t="inlineStr">
        <is>
          <t>08.27_141_N-1.xlsx</t>
        </is>
      </c>
      <c r="Z34" s="13" t="n">
        <v>48</v>
      </c>
      <c r="AA34" s="13" t="b">
        <v>0</v>
      </c>
      <c r="AB34" s="13" t="b">
        <v>0</v>
      </c>
      <c r="AC34" s="13" t="b">
        <v>0</v>
      </c>
      <c r="AD34" s="13" t="n">
        <v>2</v>
      </c>
      <c r="AE34" s="13" t="n">
        <v>1</v>
      </c>
      <c r="AF34" s="13" t="inlineStr">
        <is>
          <t>completed</t>
        </is>
      </c>
      <c r="AG34" s="17" t="n">
        <v>172748</v>
      </c>
      <c r="AH34" s="17" t="n">
        <v>7165</v>
      </c>
      <c r="AI34" s="13" t="inlineStr"/>
      <c r="AJ34" s="13" t="inlineStr"/>
      <c r="AK34" s="13" t="inlineStr">
        <is>
          <t>79036bd8-09a6-44ef-a84d-8985ace5476e</t>
        </is>
      </c>
    </row>
    <row r="35" ht="78" customHeight="1">
      <c r="A35" s="20" t="inlineStr">
        <is>
          <t>2a63059e</t>
        </is>
      </c>
      <c r="B35" s="21" t="inlineStr">
        <is>
          <t>Regenerated today - outline now present (first run was empty context, second run healthy)</t>
        </is>
      </c>
      <c r="C35" s="21" t="inlineStr">
        <is>
          <t>APPROVE to generating_prompt. Strip the summary/meta bullets first.</t>
        </is>
      </c>
      <c r="D35" s="12" t="inlineStr">
        <is>
          <t>2 summary bullets at the top (tab list, hardcode list) before the build steps; strip them. Decomper prior: 86% of their SOTA-scored tasks came back too easy (n=28).</t>
        </is>
      </c>
      <c r="E35" s="12" t="inlineStr">
        <is>
          <t>16 bullets, 5820 chars. Last run 201,784 in / 7,610 out.</t>
        </is>
      </c>
      <c r="F35" s="13" t="inlineStr">
        <is>
          <t>A1_no_outline</t>
        </is>
      </c>
      <c r="G35" s="12" t="inlineStr">
        <is>
          <t>wangche2532@gmail.com</t>
        </is>
      </c>
      <c r="H35" s="14" t="n">
        <v>0.857</v>
      </c>
      <c r="I35" s="13" t="n">
        <v>28</v>
      </c>
      <c r="J35" s="15" t="n">
        <v>46266.91639456018</v>
      </c>
      <c r="K35" s="16" t="n">
        <v>0.1</v>
      </c>
      <c r="L35" s="13" t="n">
        <v>2</v>
      </c>
      <c r="M35" s="13" t="n">
        <v>3</v>
      </c>
      <c r="N35" s="13" t="n">
        <v>1</v>
      </c>
      <c r="O35" s="13" t="inlineStr">
        <is>
          <t>ali@meridian.ai</t>
        </is>
      </c>
      <c r="P35" s="13" t="b">
        <v>1</v>
      </c>
      <c r="Q35" s="13" t="n">
        <v>5820</v>
      </c>
      <c r="R35" s="13" t="n"/>
      <c r="S35" s="13" t="n">
        <v>16</v>
      </c>
      <c r="T35" s="13" t="n">
        <v>57</v>
      </c>
      <c r="U35" s="13" t="n">
        <v>1009</v>
      </c>
      <c r="V35" s="13" t="b">
        <v>0</v>
      </c>
      <c r="W35" s="13" t="inlineStr">
        <is>
          <t>08.31_63 N-4.xlsx</t>
        </is>
      </c>
      <c r="X35" s="13" t="n">
        <v>415</v>
      </c>
      <c r="Y35" s="13" t="inlineStr">
        <is>
          <t>08.31_63 N-3.xlsx</t>
        </is>
      </c>
      <c r="Z35" s="13" t="n">
        <v>450</v>
      </c>
      <c r="AA35" s="13" t="b">
        <v>0</v>
      </c>
      <c r="AB35" s="13" t="b">
        <v>0</v>
      </c>
      <c r="AC35" s="13" t="b">
        <v>0</v>
      </c>
      <c r="AD35" s="13" t="n">
        <v>2</v>
      </c>
      <c r="AE35" s="13" t="n">
        <v>1</v>
      </c>
      <c r="AF35" s="13" t="inlineStr">
        <is>
          <t>completed</t>
        </is>
      </c>
      <c r="AG35" s="17" t="n">
        <v>201784</v>
      </c>
      <c r="AH35" s="17" t="n">
        <v>7610</v>
      </c>
      <c r="AI35" s="13" t="inlineStr"/>
      <c r="AJ35" s="13" t="inlineStr"/>
      <c r="AK35" s="13" t="inlineStr">
        <is>
          <t>2a63059e-b08b-495f-90df-23bb38eccd3f</t>
        </is>
      </c>
    </row>
    <row r="36" ht="78" customHeight="1">
      <c r="A36" s="20" t="inlineStr">
        <is>
          <t>8c19520c</t>
        </is>
      </c>
      <c r="B36" s="21" t="inlineStr">
        <is>
          <t>Regenerated today - outline now present (first run was empty context, second run healthy)</t>
        </is>
      </c>
      <c r="C36" s="21" t="inlineStr">
        <is>
          <t>APPROVE to generating_prompt.</t>
        </is>
      </c>
      <c r="D36" s="12" t="inlineStr">
        <is>
          <t>Decomper prior: 86% of their SOTA-scored tasks came back too easy (n=28).</t>
        </is>
      </c>
      <c r="E36" s="12" t="inlineStr">
        <is>
          <t>14 bullets, 5089 chars. Last run 523,608 in / 11,560 out.</t>
        </is>
      </c>
      <c r="F36" s="13" t="inlineStr">
        <is>
          <t>A1_no_outline</t>
        </is>
      </c>
      <c r="G36" s="12" t="inlineStr">
        <is>
          <t>wangche2532@gmail.com</t>
        </is>
      </c>
      <c r="H36" s="14" t="n">
        <v>0.857</v>
      </c>
      <c r="I36" s="13" t="n">
        <v>28</v>
      </c>
      <c r="J36" s="15" t="n">
        <v>46266.91969123843</v>
      </c>
      <c r="K36" s="16" t="n">
        <v>0.1</v>
      </c>
      <c r="L36" s="13" t="n">
        <v>2</v>
      </c>
      <c r="M36" s="13" t="n">
        <v>3</v>
      </c>
      <c r="N36" s="13" t="n">
        <v>1</v>
      </c>
      <c r="O36" s="13" t="inlineStr">
        <is>
          <t>ali@meridian.ai</t>
        </is>
      </c>
      <c r="P36" s="13" t="b">
        <v>1</v>
      </c>
      <c r="Q36" s="13" t="n">
        <v>5089</v>
      </c>
      <c r="R36" s="13" t="n"/>
      <c r="S36" s="13" t="n">
        <v>14</v>
      </c>
      <c r="T36" s="13" t="n">
        <v>302</v>
      </c>
      <c r="U36" s="13" t="n">
        <v>950</v>
      </c>
      <c r="V36" s="13" t="b">
        <v>0</v>
      </c>
      <c r="W36" s="13" t="inlineStr">
        <is>
          <t>08.30_21 N-4.xlsx</t>
        </is>
      </c>
      <c r="X36" s="13" t="n">
        <v>996</v>
      </c>
      <c r="Y36" s="13" t="inlineStr">
        <is>
          <t>08.30_21 N-3.xlsx</t>
        </is>
      </c>
      <c r="Z36" s="13" t="n">
        <v>1310</v>
      </c>
      <c r="AA36" s="13" t="b">
        <v>0</v>
      </c>
      <c r="AB36" s="13" t="b">
        <v>0</v>
      </c>
      <c r="AC36" s="13" t="b">
        <v>0</v>
      </c>
      <c r="AD36" s="13" t="n">
        <v>2</v>
      </c>
      <c r="AE36" s="13" t="n">
        <v>1</v>
      </c>
      <c r="AF36" s="13" t="inlineStr">
        <is>
          <t>completed</t>
        </is>
      </c>
      <c r="AG36" s="17" t="n">
        <v>523608</v>
      </c>
      <c r="AH36" s="17" t="n">
        <v>11560</v>
      </c>
      <c r="AI36" s="13" t="inlineStr"/>
      <c r="AJ36" s="13" t="inlineStr"/>
      <c r="AK36" s="13" t="inlineStr">
        <is>
          <t>8c19520c-b2d2-449b-a1f8-b426e81df053</t>
        </is>
      </c>
    </row>
    <row r="37" ht="78" customHeight="1">
      <c r="A37" s="20" t="inlineStr">
        <is>
          <t>95606585</t>
        </is>
      </c>
      <c r="B37" s="21" t="inlineStr">
        <is>
          <t>Regenerated twice today (failed loudly at 22:59, succeeded at 00:02) - outline now 7449 chars (was 7398)</t>
        </is>
      </c>
      <c r="C37" s="21" t="inlineStr">
        <is>
          <t>APPROVE to generating_prompt. Strip the summary/meta bullets first.</t>
        </is>
      </c>
      <c r="D37" s="12" t="inlineStr">
        <is>
          <t>2 meta bullets at the top ("input_workbook_url = earlier = less built"); strip them. Output workbook is smaller than input (395KB vs 440KB), unusual for a forward build. Decomper prior: 86% of their SOTA-scored tasks came back too easy (n=28).</t>
        </is>
      </c>
      <c r="E37" s="12" t="inlineStr">
        <is>
          <t>15 bullets, 7449 chars. Last run 395,365 in / 10,629 out.</t>
        </is>
      </c>
      <c r="F37" s="13" t="inlineStr">
        <is>
          <t>C_truncated_outline</t>
        </is>
      </c>
      <c r="G37" s="12" t="inlineStr">
        <is>
          <t>wangche2532@gmail.com</t>
        </is>
      </c>
      <c r="H37" s="14" t="n">
        <v>0.857</v>
      </c>
      <c r="I37" s="13" t="n">
        <v>28</v>
      </c>
      <c r="J37" s="15" t="n">
        <v>46266.95817302083</v>
      </c>
      <c r="K37" s="16" t="n">
        <v>0</v>
      </c>
      <c r="L37" s="13" t="n">
        <v>2</v>
      </c>
      <c r="M37" s="13" t="n">
        <v>4</v>
      </c>
      <c r="N37" s="13" t="n">
        <v>1</v>
      </c>
      <c r="O37" s="13" t="inlineStr">
        <is>
          <t>ali@meridian.ai</t>
        </is>
      </c>
      <c r="P37" s="13" t="b">
        <v>1</v>
      </c>
      <c r="Q37" s="13" t="n">
        <v>7449</v>
      </c>
      <c r="R37" s="13" t="n">
        <v>7398</v>
      </c>
      <c r="S37" s="13" t="n">
        <v>15</v>
      </c>
      <c r="T37" s="13" t="n">
        <v>123</v>
      </c>
      <c r="U37" s="13" t="n">
        <v>800</v>
      </c>
      <c r="V37" s="13" t="b">
        <v>0</v>
      </c>
      <c r="W37" s="13" t="inlineStr">
        <is>
          <t>08.31_44 N-4.xlsx</t>
        </is>
      </c>
      <c r="X37" s="13" t="n">
        <v>441</v>
      </c>
      <c r="Y37" s="13" t="inlineStr">
        <is>
          <t>08.31_44 N-3.xlsx</t>
        </is>
      </c>
      <c r="Z37" s="13" t="n">
        <v>396</v>
      </c>
      <c r="AA37" s="13" t="b">
        <v>0</v>
      </c>
      <c r="AB37" s="13" t="b">
        <v>1</v>
      </c>
      <c r="AC37" s="13" t="b">
        <v>0</v>
      </c>
      <c r="AD37" s="13" t="n">
        <v>2</v>
      </c>
      <c r="AE37" s="13" t="n">
        <v>1</v>
      </c>
      <c r="AF37" s="13" t="inlineStr">
        <is>
          <t>completed</t>
        </is>
      </c>
      <c r="AG37" s="17" t="n">
        <v>395365</v>
      </c>
      <c r="AH37" s="17" t="n">
        <v>10629</v>
      </c>
      <c r="AI37" s="13" t="inlineStr"/>
      <c r="AJ37" s="13" t="inlineStr"/>
      <c r="AK37" s="13" t="inlineStr">
        <is>
          <t>95606585-8665-475b-ac9c-eb5fae04a8f6</t>
        </is>
      </c>
    </row>
    <row r="38" ht="78" customHeight="1">
      <c r="A38" s="20" t="inlineStr">
        <is>
          <t>1ef09f14</t>
        </is>
      </c>
      <c r="B38" s="21" t="inlineStr">
        <is>
          <t>Regenerated today - outline now present (first run was empty context, second run healthy)</t>
        </is>
      </c>
      <c r="C38" s="21" t="inlineStr">
        <is>
          <t>APPROVE to generating_prompt.</t>
        </is>
      </c>
      <c r="D38" s="12" t="inlineStr"/>
      <c r="E38" s="12" t="inlineStr">
        <is>
          <t>19 bullets, 7866 chars. Last run 80,859 in / 5,771 out.</t>
        </is>
      </c>
      <c r="F38" s="13" t="inlineStr">
        <is>
          <t>A1_no_outline</t>
        </is>
      </c>
      <c r="G38" s="12" t="inlineStr">
        <is>
          <t>sophie.xiao@toptal.com</t>
        </is>
      </c>
      <c r="H38" s="14" t="n">
        <v>0</v>
      </c>
      <c r="I38" s="13" t="n">
        <v>8</v>
      </c>
      <c r="J38" s="15" t="n">
        <v>46266.91601563658</v>
      </c>
      <c r="K38" s="16" t="n">
        <v>0.1</v>
      </c>
      <c r="L38" s="13" t="n">
        <v>2</v>
      </c>
      <c r="M38" s="13" t="n">
        <v>3</v>
      </c>
      <c r="N38" s="13" t="n">
        <v>1</v>
      </c>
      <c r="O38" s="13" t="inlineStr">
        <is>
          <t>ali@meridian.ai</t>
        </is>
      </c>
      <c r="P38" s="13" t="b">
        <v>1</v>
      </c>
      <c r="Q38" s="13" t="n">
        <v>7866</v>
      </c>
      <c r="R38" s="13" t="n"/>
      <c r="S38" s="13" t="n">
        <v>19</v>
      </c>
      <c r="T38" s="13" t="n">
        <v>51</v>
      </c>
      <c r="U38" s="13" t="n">
        <v>681</v>
      </c>
      <c r="V38" s="13" t="b">
        <v>0</v>
      </c>
      <c r="W38" s="13" t="inlineStr">
        <is>
          <t>08.31_50 N-1.xlsx</t>
        </is>
      </c>
      <c r="X38" s="13" t="n">
        <v>451</v>
      </c>
      <c r="Y38" s="13" t="inlineStr">
        <is>
          <t>08.31_50.xlsx</t>
        </is>
      </c>
      <c r="Z38" s="13" t="n">
        <v>932</v>
      </c>
      <c r="AA38" s="13" t="b">
        <v>0</v>
      </c>
      <c r="AB38" s="13" t="b">
        <v>0</v>
      </c>
      <c r="AC38" s="13" t="b">
        <v>0</v>
      </c>
      <c r="AD38" s="13" t="n">
        <v>2</v>
      </c>
      <c r="AE38" s="13" t="n">
        <v>1</v>
      </c>
      <c r="AF38" s="13" t="inlineStr">
        <is>
          <t>completed</t>
        </is>
      </c>
      <c r="AG38" s="17" t="n">
        <v>80859</v>
      </c>
      <c r="AH38" s="17" t="n">
        <v>5771</v>
      </c>
      <c r="AI38" s="13" t="inlineStr"/>
      <c r="AJ38" s="13" t="inlineStr"/>
      <c r="AK38" s="13" t="inlineStr">
        <is>
          <t>1ef09f14-3119-434f-b561-884e196c6caa</t>
        </is>
      </c>
    </row>
    <row r="39" ht="78" customHeight="1">
      <c r="A39" s="20" t="inlineStr">
        <is>
          <t>40827f51</t>
        </is>
      </c>
      <c r="B39" s="21" t="inlineStr">
        <is>
          <t>Regenerated twice today (failed loudly at 22:59, succeeded at 00:02) - outline now 9279 chars (was 2052)</t>
        </is>
      </c>
      <c r="C39" s="21" t="inlineStr">
        <is>
          <t>APPROVE to generating_prompt.</t>
        </is>
      </c>
      <c r="D39" s="12" t="inlineStr"/>
      <c r="E39" s="12" t="inlineStr">
        <is>
          <t>14 bullets, 9279 chars. Last run 111,708 in / 5,540 out.</t>
        </is>
      </c>
      <c r="F39" s="13" t="inlineStr">
        <is>
          <t>B_thin_outline</t>
        </is>
      </c>
      <c r="G39" s="12" t="inlineStr">
        <is>
          <t>apathy@uchicago.edu</t>
        </is>
      </c>
      <c r="H39" s="14" t="n">
        <v>0.556</v>
      </c>
      <c r="I39" s="13" t="n">
        <v>9</v>
      </c>
      <c r="J39" s="15" t="n">
        <v>46266.95653925926</v>
      </c>
      <c r="K39" s="16" t="n">
        <v>0</v>
      </c>
      <c r="L39" s="13" t="n">
        <v>2</v>
      </c>
      <c r="M39" s="13" t="n">
        <v>4</v>
      </c>
      <c r="N39" s="13" t="n">
        <v>1</v>
      </c>
      <c r="O39" s="13" t="inlineStr">
        <is>
          <t>ali@meridian.ai</t>
        </is>
      </c>
      <c r="P39" s="13" t="b">
        <v>1</v>
      </c>
      <c r="Q39" s="13" t="n">
        <v>9279</v>
      </c>
      <c r="R39" s="13" t="n">
        <v>2052</v>
      </c>
      <c r="S39" s="13" t="n">
        <v>14</v>
      </c>
      <c r="T39" s="13" t="n">
        <v>15</v>
      </c>
      <c r="U39" s="13" t="n">
        <v>661</v>
      </c>
      <c r="V39" s="13" t="b">
        <v>0</v>
      </c>
      <c r="W39" s="13" t="inlineStr">
        <is>
          <t>08.31_21-N-2.xlsx</t>
        </is>
      </c>
      <c r="X39" s="13" t="n">
        <v>27</v>
      </c>
      <c r="Y39" s="13" t="inlineStr">
        <is>
          <t>08.31_21-N-1.xlsx</t>
        </is>
      </c>
      <c r="Z39" s="13" t="n">
        <v>45</v>
      </c>
      <c r="AA39" s="13" t="b">
        <v>0</v>
      </c>
      <c r="AB39" s="13" t="b">
        <v>0</v>
      </c>
      <c r="AC39" s="13" t="b">
        <v>0</v>
      </c>
      <c r="AD39" s="13" t="n">
        <v>2</v>
      </c>
      <c r="AE39" s="13" t="n">
        <v>1</v>
      </c>
      <c r="AF39" s="13" t="inlineStr">
        <is>
          <t>completed</t>
        </is>
      </c>
      <c r="AG39" s="17" t="n">
        <v>111708</v>
      </c>
      <c r="AH39" s="17" t="n">
        <v>5540</v>
      </c>
      <c r="AI39" s="13" t="inlineStr"/>
      <c r="AJ39" s="13" t="inlineStr"/>
      <c r="AK39" s="13" t="inlineStr">
        <is>
          <t>40827f51-9058-4a34-aa53-cffedf1af118</t>
        </is>
      </c>
    </row>
    <row r="40" ht="78" customHeight="1">
      <c r="A40" s="20" t="inlineStr">
        <is>
          <t>8f99bcd7</t>
        </is>
      </c>
      <c r="B40" s="21" t="inlineStr">
        <is>
          <t>New arrival - first visit, healthy agent run, outline present</t>
        </is>
      </c>
      <c r="C40" s="21" t="inlineStr">
        <is>
          <t>APPROVE to generating_prompt.</t>
        </is>
      </c>
      <c r="D40" s="12" t="inlineStr">
        <is>
          <t>Decomper prior: 100% of their SOTA-scored tasks came back too easy (n=4).</t>
        </is>
      </c>
      <c r="E40" s="12" t="inlineStr">
        <is>
          <t>16 bullets, 6592 chars. Last run 152,153 in / 5,778 out.</t>
        </is>
      </c>
      <c r="F40" s="13" t="inlineStr">
        <is>
          <t>NEW (arrived after the triage snapshot)</t>
        </is>
      </c>
      <c r="G40" s="12" t="inlineStr">
        <is>
          <t>mshuriah2702@gmail.com</t>
        </is>
      </c>
      <c r="H40" s="14" t="n">
        <v>1</v>
      </c>
      <c r="I40" s="13" t="n">
        <v>4</v>
      </c>
      <c r="J40" s="15" t="n">
        <v>46266.97331189815</v>
      </c>
      <c r="K40" s="16" t="n">
        <v>0</v>
      </c>
      <c r="L40" s="13" t="n">
        <v>1</v>
      </c>
      <c r="M40" s="13" t="n">
        <v>2</v>
      </c>
      <c r="N40" s="13" t="n">
        <v>0</v>
      </c>
      <c r="O40" s="13" t="inlineStr"/>
      <c r="P40" s="13" t="b">
        <v>1</v>
      </c>
      <c r="Q40" s="13" t="n">
        <v>6592</v>
      </c>
      <c r="R40" s="13" t="n"/>
      <c r="S40" s="13" t="n">
        <v>16</v>
      </c>
      <c r="T40" s="13" t="n">
        <v>21</v>
      </c>
      <c r="U40" s="13" t="n">
        <v>638</v>
      </c>
      <c r="V40" s="13" t="b">
        <v>0</v>
      </c>
      <c r="W40" s="13" t="inlineStr">
        <is>
          <t>08.31_116 N-7.xlsx</t>
        </is>
      </c>
      <c r="X40" s="13" t="n">
        <v>766</v>
      </c>
      <c r="Y40" s="13" t="inlineStr">
        <is>
          <t>08.31_116 N-6.xlsx</t>
        </is>
      </c>
      <c r="Z40" s="13" t="n">
        <v>805</v>
      </c>
      <c r="AA40" s="13" t="b">
        <v>0</v>
      </c>
      <c r="AB40" s="13" t="b">
        <v>0</v>
      </c>
      <c r="AC40" s="13" t="b">
        <v>0</v>
      </c>
      <c r="AD40" s="13" t="n">
        <v>1</v>
      </c>
      <c r="AE40" s="13" t="n">
        <v>0</v>
      </c>
      <c r="AF40" s="13" t="inlineStr">
        <is>
          <t>completed</t>
        </is>
      </c>
      <c r="AG40" s="17" t="n">
        <v>152153</v>
      </c>
      <c r="AH40" s="17" t="n">
        <v>5778</v>
      </c>
      <c r="AI40" s="13" t="inlineStr"/>
      <c r="AJ40" s="13" t="inlineStr"/>
      <c r="AK40" s="13" t="inlineStr">
        <is>
          <t>8f99bcd7-fca6-4752-bf71-04ad795bf50d</t>
        </is>
      </c>
    </row>
    <row r="41" ht="78" customHeight="1">
      <c r="A41" s="20" t="inlineStr">
        <is>
          <t>29ea5ad8</t>
        </is>
      </c>
      <c r="B41" s="21" t="inlineStr">
        <is>
          <t>Regenerated today - outline now present (first run was empty context, second run healthy)</t>
        </is>
      </c>
      <c r="C41" s="21" t="inlineStr">
        <is>
          <t>APPROVE to generating_prompt.</t>
        </is>
      </c>
      <c r="D41" s="12" t="inlineStr">
        <is>
          <t>Decomper prior: 86% of their SOTA-scored tasks came back too easy (n=28).</t>
        </is>
      </c>
      <c r="E41" s="12" t="inlineStr">
        <is>
          <t>31 bullets, 10095 chars. Last run 325,845 in / 7,793 out.</t>
        </is>
      </c>
      <c r="F41" s="13" t="inlineStr">
        <is>
          <t>A1_no_outline</t>
        </is>
      </c>
      <c r="G41" s="12" t="inlineStr">
        <is>
          <t>wangche2532@gmail.com</t>
        </is>
      </c>
      <c r="H41" s="14" t="n">
        <v>0.857</v>
      </c>
      <c r="I41" s="13" t="n">
        <v>28</v>
      </c>
      <c r="J41" s="15" t="n">
        <v>46266.91614278935</v>
      </c>
      <c r="K41" s="16" t="n">
        <v>0.1</v>
      </c>
      <c r="L41" s="13" t="n">
        <v>2</v>
      </c>
      <c r="M41" s="13" t="n">
        <v>3</v>
      </c>
      <c r="N41" s="13" t="n">
        <v>1</v>
      </c>
      <c r="O41" s="13" t="inlineStr">
        <is>
          <t>ali@meridian.ai</t>
        </is>
      </c>
      <c r="P41" s="13" t="b">
        <v>1</v>
      </c>
      <c r="Q41" s="13" t="n">
        <v>10095</v>
      </c>
      <c r="R41" s="13" t="n"/>
      <c r="S41" s="13" t="n">
        <v>31</v>
      </c>
      <c r="T41" s="13" t="n">
        <v>118</v>
      </c>
      <c r="U41" s="13" t="n">
        <v>635</v>
      </c>
      <c r="V41" s="13" t="b">
        <v>0</v>
      </c>
      <c r="W41" s="13" t="inlineStr">
        <is>
          <t>08.30_50 N-3.xlsx</t>
        </is>
      </c>
      <c r="X41" s="13" t="n">
        <v>92</v>
      </c>
      <c r="Y41" s="13" t="inlineStr">
        <is>
          <t>08.30_50 N-2.xlsx</t>
        </is>
      </c>
      <c r="Z41" s="13" t="n">
        <v>102</v>
      </c>
      <c r="AA41" s="13" t="b">
        <v>0</v>
      </c>
      <c r="AB41" s="13" t="b">
        <v>0</v>
      </c>
      <c r="AC41" s="13" t="b">
        <v>0</v>
      </c>
      <c r="AD41" s="13" t="n">
        <v>2</v>
      </c>
      <c r="AE41" s="13" t="n">
        <v>1</v>
      </c>
      <c r="AF41" s="13" t="inlineStr">
        <is>
          <t>completed</t>
        </is>
      </c>
      <c r="AG41" s="17" t="n">
        <v>325845</v>
      </c>
      <c r="AH41" s="17" t="n">
        <v>7793</v>
      </c>
      <c r="AI41" s="13" t="inlineStr"/>
      <c r="AJ41" s="13" t="inlineStr"/>
      <c r="AK41" s="13" t="inlineStr">
        <is>
          <t>29ea5ad8-04b1-4dc4-8220-ae9df37ae12d</t>
        </is>
      </c>
    </row>
    <row r="42" ht="78" customHeight="1">
      <c r="A42" s="20" t="inlineStr">
        <is>
          <t>f09e7718</t>
        </is>
      </c>
      <c r="B42" s="21" t="inlineStr">
        <is>
          <t>New arrival - first visit, healthy agent run, outline present</t>
        </is>
      </c>
      <c r="C42" s="21" t="inlineStr">
        <is>
          <t>APPROVE to generating_prompt.</t>
        </is>
      </c>
      <c r="D42" s="12" t="inlineStr">
        <is>
          <t>Decomper prior: 100% of their SOTA-scored tasks came back too easy (n=4).</t>
        </is>
      </c>
      <c r="E42" s="12" t="inlineStr">
        <is>
          <t>22 bullets, 5638 chars. Last run 142,290 in / 6,764 out.</t>
        </is>
      </c>
      <c r="F42" s="13" t="inlineStr">
        <is>
          <t>NEW (arrived after the triage snapshot)</t>
        </is>
      </c>
      <c r="G42" s="12" t="inlineStr">
        <is>
          <t>mshuriah2702@gmail.com</t>
        </is>
      </c>
      <c r="H42" s="14" t="n">
        <v>1</v>
      </c>
      <c r="I42" s="13" t="n">
        <v>4</v>
      </c>
      <c r="J42" s="15" t="n">
        <v>46266.97244725694</v>
      </c>
      <c r="K42" s="16" t="n">
        <v>0</v>
      </c>
      <c r="L42" s="13" t="n">
        <v>1</v>
      </c>
      <c r="M42" s="13" t="n">
        <v>2</v>
      </c>
      <c r="N42" s="13" t="n">
        <v>0</v>
      </c>
      <c r="O42" s="13" t="inlineStr"/>
      <c r="P42" s="13" t="b">
        <v>1</v>
      </c>
      <c r="Q42" s="13" t="n">
        <v>5638</v>
      </c>
      <c r="R42" s="13" t="n"/>
      <c r="S42" s="13" t="n">
        <v>22</v>
      </c>
      <c r="T42" s="13" t="n">
        <v>18</v>
      </c>
      <c r="U42" s="13" t="n">
        <v>565</v>
      </c>
      <c r="V42" s="13" t="b">
        <v>0</v>
      </c>
      <c r="W42" s="13" t="inlineStr">
        <is>
          <t>08.31_116 N-5.xlsx</t>
        </is>
      </c>
      <c r="X42" s="13" t="n">
        <v>814</v>
      </c>
      <c r="Y42" s="13" t="inlineStr">
        <is>
          <t>08.31_116 N-4.xlsx</t>
        </is>
      </c>
      <c r="Z42" s="13" t="n">
        <v>835</v>
      </c>
      <c r="AA42" s="13" t="b">
        <v>0</v>
      </c>
      <c r="AB42" s="13" t="b">
        <v>0</v>
      </c>
      <c r="AC42" s="13" t="b">
        <v>0</v>
      </c>
      <c r="AD42" s="13" t="n">
        <v>1</v>
      </c>
      <c r="AE42" s="13" t="n">
        <v>0</v>
      </c>
      <c r="AF42" s="13" t="inlineStr">
        <is>
          <t>completed</t>
        </is>
      </c>
      <c r="AG42" s="17" t="n">
        <v>142290</v>
      </c>
      <c r="AH42" s="17" t="n">
        <v>6764</v>
      </c>
      <c r="AI42" s="13" t="inlineStr"/>
      <c r="AJ42" s="13" t="inlineStr"/>
      <c r="AK42" s="13" t="inlineStr">
        <is>
          <t>f09e7718-c4bf-4bb1-964a-5a914acc6ee4</t>
        </is>
      </c>
    </row>
    <row r="43" ht="78" customHeight="1">
      <c r="A43" s="20" t="inlineStr">
        <is>
          <t>4073b29f</t>
        </is>
      </c>
      <c r="B43" s="21" t="inlineStr">
        <is>
          <t>Regenerated today - outline now present (first run was empty context, second run healthy)</t>
        </is>
      </c>
      <c r="C43" s="21" t="inlineStr">
        <is>
          <t>APPROVE to generating_prompt.</t>
        </is>
      </c>
      <c r="D43" s="12" t="inlineStr">
        <is>
          <t>Decomper prior: 100% of their SOTA-scored tasks came back too easy (n=2).</t>
        </is>
      </c>
      <c r="E43" s="12" t="inlineStr">
        <is>
          <t>25 bullets, 10237 chars. Last run 550,448 in / 11,856 out.</t>
        </is>
      </c>
      <c r="F43" s="13" t="inlineStr">
        <is>
          <t>A1_no_outline</t>
        </is>
      </c>
      <c r="G43" s="12" t="inlineStr">
        <is>
          <t>nimisha.mekala2021@gmail.com</t>
        </is>
      </c>
      <c r="H43" s="14" t="n">
        <v>1</v>
      </c>
      <c r="I43" s="13" t="n">
        <v>2</v>
      </c>
      <c r="J43" s="15" t="n">
        <v>46266.9176224537</v>
      </c>
      <c r="K43" s="16" t="n">
        <v>0.1</v>
      </c>
      <c r="L43" s="13" t="n">
        <v>2</v>
      </c>
      <c r="M43" s="13" t="n">
        <v>3</v>
      </c>
      <c r="N43" s="13" t="n">
        <v>1</v>
      </c>
      <c r="O43" s="13" t="inlineStr">
        <is>
          <t>ali@meridian.ai</t>
        </is>
      </c>
      <c r="P43" s="13" t="b">
        <v>1</v>
      </c>
      <c r="Q43" s="13" t="n">
        <v>10237</v>
      </c>
      <c r="R43" s="13" t="n"/>
      <c r="S43" s="13" t="n">
        <v>25</v>
      </c>
      <c r="T43" s="13" t="n">
        <v>214</v>
      </c>
      <c r="U43" s="13" t="n">
        <v>467</v>
      </c>
      <c r="V43" s="13" t="b">
        <v>1</v>
      </c>
      <c r="W43" s="13" t="inlineStr">
        <is>
          <t>MFESC_-_Model.redacted-hygiene_N-1.xlsx</t>
        </is>
      </c>
      <c r="X43" s="13" t="n">
        <v>1409</v>
      </c>
      <c r="Y43" s="13" t="inlineStr">
        <is>
          <t>MFESC_-_Model.redacted-hygiene_N.xlsx</t>
        </is>
      </c>
      <c r="Z43" s="13" t="n">
        <v>1417</v>
      </c>
      <c r="AA43" s="13" t="b">
        <v>0</v>
      </c>
      <c r="AB43" s="13" t="b">
        <v>0</v>
      </c>
      <c r="AC43" s="13" t="b">
        <v>0</v>
      </c>
      <c r="AD43" s="13" t="n">
        <v>2</v>
      </c>
      <c r="AE43" s="13" t="n">
        <v>1</v>
      </c>
      <c r="AF43" s="13" t="inlineStr">
        <is>
          <t>completed</t>
        </is>
      </c>
      <c r="AG43" s="17" t="n">
        <v>550448</v>
      </c>
      <c r="AH43" s="17" t="n">
        <v>11856</v>
      </c>
      <c r="AI43" s="13" t="inlineStr"/>
      <c r="AJ43" s="13" t="inlineStr">
        <is>
          <t>1197babd-28a8-42f6-a8f4-de30e057789e</t>
        </is>
      </c>
      <c r="AK43" s="13" t="inlineStr">
        <is>
          <t>4073b29f-25e1-4432-8bf5-0b7c4be497db</t>
        </is>
      </c>
    </row>
    <row r="44" ht="78" customHeight="1">
      <c r="A44" s="20" t="inlineStr">
        <is>
          <t>d75d1c87</t>
        </is>
      </c>
      <c r="B44" s="21" t="inlineStr">
        <is>
          <t>New arrival - first visit, healthy agent run, outline present</t>
        </is>
      </c>
      <c r="C44" s="21" t="inlineStr">
        <is>
          <t>APPROVE to generating_prompt. Strip the summary/meta bullets first.</t>
        </is>
      </c>
      <c r="D44" s="12" t="inlineStr">
        <is>
          <t>2 summary bullets at the top (NEW tab / Modified tabs list) before the build steps; strip them. Decomper prior: 100% of their SOTA-scored tasks came back too easy (n=4).</t>
        </is>
      </c>
      <c r="E44" s="12" t="inlineStr">
        <is>
          <t>9 bullets, 7338 chars. Last run 992,393 in / 18,689 out.</t>
        </is>
      </c>
      <c r="F44" s="13" t="inlineStr">
        <is>
          <t>NEW (arrived after the triage snapshot)</t>
        </is>
      </c>
      <c r="G44" s="12" t="inlineStr">
        <is>
          <t>mshuriah2702@gmail.com</t>
        </is>
      </c>
      <c r="H44" s="14" t="n">
        <v>1</v>
      </c>
      <c r="I44" s="13" t="n">
        <v>4</v>
      </c>
      <c r="J44" s="15" t="n">
        <v>46266.97309115741</v>
      </c>
      <c r="K44" s="16" t="n">
        <v>0</v>
      </c>
      <c r="L44" s="13" t="n">
        <v>1</v>
      </c>
      <c r="M44" s="13" t="n">
        <v>2</v>
      </c>
      <c r="N44" s="13" t="n">
        <v>0</v>
      </c>
      <c r="O44" s="13" t="inlineStr"/>
      <c r="P44" s="13" t="b">
        <v>1</v>
      </c>
      <c r="Q44" s="13" t="n">
        <v>7338</v>
      </c>
      <c r="R44" s="13" t="n"/>
      <c r="S44" s="13" t="n">
        <v>9</v>
      </c>
      <c r="T44" s="13" t="n">
        <v>583</v>
      </c>
      <c r="U44" s="13" t="n">
        <v>458</v>
      </c>
      <c r="V44" s="13" t="b">
        <v>1</v>
      </c>
      <c r="W44" s="13" t="inlineStr">
        <is>
          <t>08.31_116 N-1.xlsx</t>
        </is>
      </c>
      <c r="X44" s="13" t="n">
        <v>980</v>
      </c>
      <c r="Y44" s="13" t="inlineStr">
        <is>
          <t>08.31_116.xlsx</t>
        </is>
      </c>
      <c r="Z44" s="13" t="n">
        <v>996</v>
      </c>
      <c r="AA44" s="13" t="b">
        <v>0</v>
      </c>
      <c r="AB44" s="13" t="b">
        <v>0</v>
      </c>
      <c r="AC44" s="13" t="b">
        <v>0</v>
      </c>
      <c r="AD44" s="13" t="n">
        <v>1</v>
      </c>
      <c r="AE44" s="13" t="n">
        <v>0</v>
      </c>
      <c r="AF44" s="13" t="inlineStr">
        <is>
          <t>completed</t>
        </is>
      </c>
      <c r="AG44" s="17" t="n">
        <v>992393</v>
      </c>
      <c r="AH44" s="17" t="n">
        <v>18689</v>
      </c>
      <c r="AI44" s="13" t="inlineStr"/>
      <c r="AJ44" s="13" t="inlineStr">
        <is>
          <t>64a502f4-bd86-4ae1-b889-8547eedfd676</t>
        </is>
      </c>
      <c r="AK44" s="13" t="inlineStr">
        <is>
          <t>d75d1c87-cc80-461b-a894-47ea156cad3f</t>
        </is>
      </c>
    </row>
    <row r="45" ht="78" customHeight="1">
      <c r="A45" s="20" t="inlineStr">
        <is>
          <t>f776f992</t>
        </is>
      </c>
      <c r="B45" s="21" t="inlineStr">
        <is>
          <t>Regenerated today - outline now present (first run was empty context, second run healthy)</t>
        </is>
      </c>
      <c r="C45" s="21" t="inlineStr">
        <is>
          <t>APPROVE to generating_prompt.</t>
        </is>
      </c>
      <c r="D45" s="12" t="inlineStr">
        <is>
          <t>397 unique formulas; cash flow and loan runoff, real logic. Moderate.</t>
        </is>
      </c>
      <c r="E45" s="12" t="inlineStr">
        <is>
          <t>13 bullets, 5294 chars. Last run 60,334 in / 3,964 out.</t>
        </is>
      </c>
      <c r="F45" s="13" t="inlineStr">
        <is>
          <t>A1_no_outline</t>
        </is>
      </c>
      <c r="G45" s="12" t="inlineStr">
        <is>
          <t>infinitearbitrage@gmail.com</t>
        </is>
      </c>
      <c r="H45" s="14" t="n">
        <v>0.875</v>
      </c>
      <c r="I45" s="13" t="n">
        <v>16</v>
      </c>
      <c r="J45" s="15" t="n">
        <v>46266.91564149305</v>
      </c>
      <c r="K45" s="16" t="n">
        <v>0.1</v>
      </c>
      <c r="L45" s="13" t="n">
        <v>2</v>
      </c>
      <c r="M45" s="13" t="n">
        <v>3</v>
      </c>
      <c r="N45" s="13" t="n">
        <v>1</v>
      </c>
      <c r="O45" s="13" t="inlineStr">
        <is>
          <t>ali@meridian.ai</t>
        </is>
      </c>
      <c r="P45" s="13" t="b">
        <v>1</v>
      </c>
      <c r="Q45" s="13" t="n">
        <v>5294</v>
      </c>
      <c r="R45" s="13" t="n"/>
      <c r="S45" s="13" t="n">
        <v>13</v>
      </c>
      <c r="T45" s="13" t="n">
        <v>59</v>
      </c>
      <c r="U45" s="13" t="n">
        <v>397</v>
      </c>
      <c r="V45" s="13" t="b">
        <v>0</v>
      </c>
      <c r="W45" s="13" t="inlineStr">
        <is>
          <t>08.31_39 N-2.xlsx</t>
        </is>
      </c>
      <c r="X45" s="13" t="n">
        <v>273</v>
      </c>
      <c r="Y45" s="13" t="inlineStr">
        <is>
          <t>08.31_39 N-1.xlsx</t>
        </is>
      </c>
      <c r="Z45" s="13" t="n">
        <v>288</v>
      </c>
      <c r="AA45" s="13" t="b">
        <v>0</v>
      </c>
      <c r="AB45" s="13" t="b">
        <v>0</v>
      </c>
      <c r="AC45" s="13" t="b">
        <v>0</v>
      </c>
      <c r="AD45" s="13" t="n">
        <v>2</v>
      </c>
      <c r="AE45" s="13" t="n">
        <v>1</v>
      </c>
      <c r="AF45" s="13" t="inlineStr">
        <is>
          <t>completed</t>
        </is>
      </c>
      <c r="AG45" s="17" t="n">
        <v>60334</v>
      </c>
      <c r="AH45" s="17" t="n">
        <v>3964</v>
      </c>
      <c r="AI45" s="13" t="inlineStr"/>
      <c r="AJ45" s="13" t="inlineStr"/>
      <c r="AK45" s="13" t="inlineStr">
        <is>
          <t>f776f992-cd34-452b-adfe-e65148c3c247</t>
        </is>
      </c>
    </row>
    <row r="46" ht="78" customHeight="1">
      <c r="A46" s="20" t="inlineStr">
        <is>
          <t>87a8cf29</t>
        </is>
      </c>
      <c r="B46" s="21" t="inlineStr">
        <is>
          <t>Regenerated today - outline now present (first run was empty context, second run healthy)</t>
        </is>
      </c>
      <c r="C46" s="21" t="inlineStr">
        <is>
          <t>APPROVE to generating_prompt.</t>
        </is>
      </c>
      <c r="D46" s="12" t="inlineStr">
        <is>
          <t>340 unique formulas; four output tabs that are almost entirely direct links. Too-easy risk.</t>
        </is>
      </c>
      <c r="E46" s="12" t="inlineStr">
        <is>
          <t>11 bullets, 5682 chars. Last run 241,183 in / 8,920 out.</t>
        </is>
      </c>
      <c r="F46" s="13" t="inlineStr">
        <is>
          <t>A1_no_outline</t>
        </is>
      </c>
      <c r="G46" s="12" t="inlineStr">
        <is>
          <t>apathy@uchicago.edu</t>
        </is>
      </c>
      <c r="H46" s="14" t="n">
        <v>0.556</v>
      </c>
      <c r="I46" s="13" t="n">
        <v>9</v>
      </c>
      <c r="J46" s="15" t="n">
        <v>46266.91694103009</v>
      </c>
      <c r="K46" s="16" t="n">
        <v>0.1</v>
      </c>
      <c r="L46" s="13" t="n">
        <v>2</v>
      </c>
      <c r="M46" s="13" t="n">
        <v>3</v>
      </c>
      <c r="N46" s="13" t="n">
        <v>1</v>
      </c>
      <c r="O46" s="13" t="inlineStr">
        <is>
          <t>ali@meridian.ai</t>
        </is>
      </c>
      <c r="P46" s="13" t="b">
        <v>1</v>
      </c>
      <c r="Q46" s="13" t="n">
        <v>5682</v>
      </c>
      <c r="R46" s="13" t="n"/>
      <c r="S46" s="13" t="n">
        <v>11</v>
      </c>
      <c r="T46" s="13" t="n">
        <v>90</v>
      </c>
      <c r="U46" s="13" t="n">
        <v>340</v>
      </c>
      <c r="V46" s="13" t="b">
        <v>0</v>
      </c>
      <c r="W46" s="13" t="inlineStr">
        <is>
          <t>fa9-N-2.xlsx</t>
        </is>
      </c>
      <c r="X46" s="13" t="n">
        <v>1129</v>
      </c>
      <c r="Y46" s="13" t="inlineStr">
        <is>
          <t>fa9-N-1.xlsx</t>
        </is>
      </c>
      <c r="Z46" s="13" t="n">
        <v>1142</v>
      </c>
      <c r="AA46" s="13" t="b">
        <v>0</v>
      </c>
      <c r="AB46" s="13" t="b">
        <v>0</v>
      </c>
      <c r="AC46" s="13" t="b">
        <v>0</v>
      </c>
      <c r="AD46" s="13" t="n">
        <v>2</v>
      </c>
      <c r="AE46" s="13" t="n">
        <v>1</v>
      </c>
      <c r="AF46" s="13" t="inlineStr">
        <is>
          <t>completed</t>
        </is>
      </c>
      <c r="AG46" s="17" t="n">
        <v>241183</v>
      </c>
      <c r="AH46" s="17" t="n">
        <v>8920</v>
      </c>
      <c r="AI46" s="13" t="inlineStr"/>
      <c r="AJ46" s="13" t="inlineStr"/>
      <c r="AK46" s="13" t="inlineStr">
        <is>
          <t>87a8cf29-f488-4921-98df-9fbb785aa0b0</t>
        </is>
      </c>
    </row>
    <row r="47" ht="78" customHeight="1">
      <c r="A47" s="20" t="inlineStr">
        <is>
          <t>fdfd6024</t>
        </is>
      </c>
      <c r="B47" s="21" t="inlineStr">
        <is>
          <t>New arrival - first visit, healthy agent run, outline present</t>
        </is>
      </c>
      <c r="C47" s="21" t="inlineStr">
        <is>
          <t>APPROVE to generating_prompt.</t>
        </is>
      </c>
      <c r="D47" s="12" t="inlineStr">
        <is>
          <t>265 unique formulas; output blocks that are link pulls and simple ratios. Too-easy risk.</t>
        </is>
      </c>
      <c r="E47" s="12" t="inlineStr">
        <is>
          <t>17 bullets, 6067 chars. Last run 101,233 in / 6,225 out.</t>
        </is>
      </c>
      <c r="F47" s="13" t="inlineStr">
        <is>
          <t>NEW (arrived after the triage snapshot)</t>
        </is>
      </c>
      <c r="G47" s="12" t="inlineStr">
        <is>
          <t>mshuriah2702@gmail.com</t>
        </is>
      </c>
      <c r="H47" s="14" t="n">
        <v>1</v>
      </c>
      <c r="I47" s="13" t="n">
        <v>4</v>
      </c>
      <c r="J47" s="15" t="n">
        <v>46266.97292771991</v>
      </c>
      <c r="K47" s="16" t="n">
        <v>0</v>
      </c>
      <c r="L47" s="13" t="n">
        <v>1</v>
      </c>
      <c r="M47" s="13" t="n">
        <v>2</v>
      </c>
      <c r="N47" s="13" t="n">
        <v>0</v>
      </c>
      <c r="O47" s="13" t="inlineStr"/>
      <c r="P47" s="13" t="b">
        <v>1</v>
      </c>
      <c r="Q47" s="13" t="n">
        <v>6067</v>
      </c>
      <c r="R47" s="13" t="n"/>
      <c r="S47" s="13" t="n">
        <v>17</v>
      </c>
      <c r="T47" s="13" t="n">
        <v>730</v>
      </c>
      <c r="U47" s="13" t="n">
        <v>265</v>
      </c>
      <c r="V47" s="13" t="b">
        <v>0</v>
      </c>
      <c r="W47" s="13" t="inlineStr">
        <is>
          <t>08.31_116 N-6.xlsx</t>
        </is>
      </c>
      <c r="X47" s="13" t="n">
        <v>805</v>
      </c>
      <c r="Y47" s="13" t="inlineStr">
        <is>
          <t>08.31_116 N-5.xlsx</t>
        </is>
      </c>
      <c r="Z47" s="13" t="n">
        <v>814</v>
      </c>
      <c r="AA47" s="13" t="b">
        <v>0</v>
      </c>
      <c r="AB47" s="13" t="b">
        <v>0</v>
      </c>
      <c r="AC47" s="13" t="b">
        <v>0</v>
      </c>
      <c r="AD47" s="13" t="n">
        <v>1</v>
      </c>
      <c r="AE47" s="13" t="n">
        <v>0</v>
      </c>
      <c r="AF47" s="13" t="inlineStr">
        <is>
          <t>completed</t>
        </is>
      </c>
      <c r="AG47" s="17" t="n">
        <v>101233</v>
      </c>
      <c r="AH47" s="17" t="n">
        <v>6225</v>
      </c>
      <c r="AI47" s="13" t="inlineStr"/>
      <c r="AJ47" s="13" t="inlineStr"/>
      <c r="AK47" s="13" t="inlineStr">
        <is>
          <t>fdfd6024-51d6-49c8-93c8-39d033b1bd8d</t>
        </is>
      </c>
    </row>
    <row r="48" ht="78" customHeight="1">
      <c r="A48" s="20" t="inlineStr">
        <is>
          <t>f7e83778</t>
        </is>
      </c>
      <c r="B48" s="21" t="inlineStr">
        <is>
          <t>Regenerated today - outline now present (first run was empty context, second run healthy)</t>
        </is>
      </c>
      <c r="C48" s="21" t="inlineStr">
        <is>
          <t>APPROVE to generating_prompt.</t>
        </is>
      </c>
      <c r="D48" s="12" t="inlineStr">
        <is>
          <t>232 unique formulas; acquisition-assumptions block plus a cloned debt schedule. Too-easy risk.</t>
        </is>
      </c>
      <c r="E48" s="12" t="inlineStr">
        <is>
          <t>14 bullets, 6773 chars. Last run 218,468 in / 7,875 out.</t>
        </is>
      </c>
      <c r="F48" s="13" t="inlineStr">
        <is>
          <t>A1_no_outline</t>
        </is>
      </c>
      <c r="G48" s="12" t="inlineStr">
        <is>
          <t>wangche2532@gmail.com</t>
        </is>
      </c>
      <c r="H48" s="14" t="n">
        <v>0.857</v>
      </c>
      <c r="I48" s="13" t="n">
        <v>28</v>
      </c>
      <c r="J48" s="15" t="n">
        <v>46266.916829375</v>
      </c>
      <c r="K48" s="16" t="n">
        <v>0.1</v>
      </c>
      <c r="L48" s="13" t="n">
        <v>2</v>
      </c>
      <c r="M48" s="13" t="n">
        <v>3</v>
      </c>
      <c r="N48" s="13" t="n">
        <v>1</v>
      </c>
      <c r="O48" s="13" t="inlineStr">
        <is>
          <t>ali@meridian.ai</t>
        </is>
      </c>
      <c r="P48" s="13" t="b">
        <v>1</v>
      </c>
      <c r="Q48" s="13" t="n">
        <v>6773</v>
      </c>
      <c r="R48" s="13" t="n"/>
      <c r="S48" s="13" t="n">
        <v>14</v>
      </c>
      <c r="T48" s="13" t="n">
        <v>129</v>
      </c>
      <c r="U48" s="13" t="n">
        <v>232</v>
      </c>
      <c r="V48" s="13" t="b">
        <v>0</v>
      </c>
      <c r="W48" s="13" t="inlineStr">
        <is>
          <t>08.31_44 N-2.xlsx</t>
        </is>
      </c>
      <c r="X48" s="13" t="n">
        <v>421</v>
      </c>
      <c r="Y48" s="13" t="inlineStr">
        <is>
          <t>08.31_44 N-1.xlsx</t>
        </is>
      </c>
      <c r="Z48" s="13" t="n">
        <v>437</v>
      </c>
      <c r="AA48" s="13" t="b">
        <v>0</v>
      </c>
      <c r="AB48" s="13" t="b">
        <v>0</v>
      </c>
      <c r="AC48" s="13" t="b">
        <v>0</v>
      </c>
      <c r="AD48" s="13" t="n">
        <v>2</v>
      </c>
      <c r="AE48" s="13" t="n">
        <v>1</v>
      </c>
      <c r="AF48" s="13" t="inlineStr">
        <is>
          <t>completed</t>
        </is>
      </c>
      <c r="AG48" s="17" t="n">
        <v>218468</v>
      </c>
      <c r="AH48" s="17" t="n">
        <v>7875</v>
      </c>
      <c r="AI48" s="13" t="inlineStr"/>
      <c r="AJ48" s="13" t="inlineStr"/>
      <c r="AK48" s="13" t="inlineStr">
        <is>
          <t>f7e83778-a8c1-4c8a-a43a-f2c40548cdf6</t>
        </is>
      </c>
    </row>
    <row r="49" ht="78" customHeight="1">
      <c r="A49" s="20" t="inlineStr">
        <is>
          <t>018939a8</t>
        </is>
      </c>
      <c r="B49" s="21" t="inlineStr">
        <is>
          <t>Regenerated twice today (failed loudly at 22:59, succeeded at 00:02) - outline now 5807 chars (was 6523)</t>
        </is>
      </c>
      <c r="C49" s="21" t="inlineStr">
        <is>
          <t>APPROVE to generating_prompt.</t>
        </is>
      </c>
      <c r="D49" s="12" t="inlineStr">
        <is>
          <t>198 unique formulas, but a genuine DCF + WACC build with data tables. Moderate.</t>
        </is>
      </c>
      <c r="E49" s="12" t="inlineStr">
        <is>
          <t>15 bullets, 5807 chars. Last run 87,390 in / 3,542 out.</t>
        </is>
      </c>
      <c r="F49" s="13" t="inlineStr">
        <is>
          <t>D_thin_transition</t>
        </is>
      </c>
      <c r="G49" s="12" t="inlineStr">
        <is>
          <t>apathy@uchicago.edu</t>
        </is>
      </c>
      <c r="H49" s="14" t="n">
        <v>0.556</v>
      </c>
      <c r="I49" s="13" t="n">
        <v>9</v>
      </c>
      <c r="J49" s="15" t="n">
        <v>46266.95619332176</v>
      </c>
      <c r="K49" s="16" t="n">
        <v>0</v>
      </c>
      <c r="L49" s="13" t="n">
        <v>2</v>
      </c>
      <c r="M49" s="13" t="n">
        <v>4</v>
      </c>
      <c r="N49" s="13" t="n">
        <v>1</v>
      </c>
      <c r="O49" s="13" t="inlineStr">
        <is>
          <t>ali@meridian.ai</t>
        </is>
      </c>
      <c r="P49" s="13" t="b">
        <v>1</v>
      </c>
      <c r="Q49" s="13" t="n">
        <v>5807</v>
      </c>
      <c r="R49" s="13" t="n">
        <v>6523</v>
      </c>
      <c r="S49" s="13" t="n">
        <v>15</v>
      </c>
      <c r="T49" s="13" t="n">
        <v>17</v>
      </c>
      <c r="U49" s="13" t="n">
        <v>198</v>
      </c>
      <c r="V49" s="13" t="b">
        <v>1</v>
      </c>
      <c r="W49" s="13" t="inlineStr">
        <is>
          <t>08.31_21-N-1.xlsx</t>
        </is>
      </c>
      <c r="X49" s="13" t="n">
        <v>45</v>
      </c>
      <c r="Y49" s="13" t="inlineStr">
        <is>
          <t>08.31_21-N-0.xlsx</t>
        </is>
      </c>
      <c r="Z49" s="13" t="n">
        <v>55</v>
      </c>
      <c r="AA49" s="13" t="b">
        <v>0</v>
      </c>
      <c r="AB49" s="13" t="b">
        <v>0</v>
      </c>
      <c r="AC49" s="13" t="b">
        <v>0</v>
      </c>
      <c r="AD49" s="13" t="n">
        <v>2</v>
      </c>
      <c r="AE49" s="13" t="n">
        <v>0</v>
      </c>
      <c r="AF49" s="13" t="inlineStr">
        <is>
          <t>completed</t>
        </is>
      </c>
      <c r="AG49" s="17" t="n">
        <v>87390</v>
      </c>
      <c r="AH49" s="17" t="n">
        <v>3542</v>
      </c>
      <c r="AI49" s="13" t="inlineStr"/>
      <c r="AJ49" s="13" t="inlineStr">
        <is>
          <t>8fcddd24-23ed-44f3-bd64-0a632be28688</t>
        </is>
      </c>
      <c r="AK49" s="13" t="inlineStr">
        <is>
          <t>018939a8-5f2a-46e7-9f5b-309a20147f37</t>
        </is>
      </c>
    </row>
    <row r="50" ht="78" customHeight="1">
      <c r="A50" s="20" t="inlineStr">
        <is>
          <t>5a1f3794</t>
        </is>
      </c>
      <c r="B50" s="21" t="inlineStr">
        <is>
          <t>Regenerated twice today (failed loudly at 22:59, succeeded at 00:02) - outline now 7117 chars (was 194)</t>
        </is>
      </c>
      <c r="C50" s="21" t="inlineStr">
        <is>
          <t>APPROVE to generating_prompt.</t>
        </is>
      </c>
      <c r="D50" s="12" t="inlineStr">
        <is>
          <t>180 unique formulas; mostly ratio rows and a small valuation-views tab. Too-easy risk.</t>
        </is>
      </c>
      <c r="E50" s="12" t="inlineStr">
        <is>
          <t>15 bullets, 7117 chars. Last run 93,690 in / 5,995 out.</t>
        </is>
      </c>
      <c r="F50" s="13" t="inlineStr">
        <is>
          <t>B_thin_outline</t>
        </is>
      </c>
      <c r="G50" s="12" t="inlineStr">
        <is>
          <t>wangche2532@gmail.com</t>
        </is>
      </c>
      <c r="H50" s="14" t="n">
        <v>0.857</v>
      </c>
      <c r="I50" s="13" t="n">
        <v>28</v>
      </c>
      <c r="J50" s="15" t="n">
        <v>46266.9567102662</v>
      </c>
      <c r="K50" s="16" t="n">
        <v>0</v>
      </c>
      <c r="L50" s="13" t="n">
        <v>2</v>
      </c>
      <c r="M50" s="13" t="n">
        <v>4</v>
      </c>
      <c r="N50" s="13" t="n">
        <v>1</v>
      </c>
      <c r="O50" s="13" t="inlineStr">
        <is>
          <t>ali@meridian.ai</t>
        </is>
      </c>
      <c r="P50" s="13" t="b">
        <v>1</v>
      </c>
      <c r="Q50" s="13" t="n">
        <v>7117</v>
      </c>
      <c r="R50" s="13" t="n">
        <v>194</v>
      </c>
      <c r="S50" s="13" t="n">
        <v>15</v>
      </c>
      <c r="T50" s="13" t="n">
        <v>130</v>
      </c>
      <c r="U50" s="13" t="n">
        <v>180</v>
      </c>
      <c r="V50" s="13" t="b">
        <v>0</v>
      </c>
      <c r="W50" s="13" t="inlineStr">
        <is>
          <t>08.30_38 N-2.xlsx</t>
        </is>
      </c>
      <c r="X50" s="13" t="n">
        <v>225</v>
      </c>
      <c r="Y50" s="13" t="inlineStr">
        <is>
          <t>08.30_38 N-1.xlsx</t>
        </is>
      </c>
      <c r="Z50" s="13" t="n">
        <v>233</v>
      </c>
      <c r="AA50" s="13" t="b">
        <v>0</v>
      </c>
      <c r="AB50" s="13" t="b">
        <v>0</v>
      </c>
      <c r="AC50" s="13" t="b">
        <v>0</v>
      </c>
      <c r="AD50" s="13" t="n">
        <v>2</v>
      </c>
      <c r="AE50" s="13" t="n">
        <v>1</v>
      </c>
      <c r="AF50" s="13" t="inlineStr">
        <is>
          <t>completed</t>
        </is>
      </c>
      <c r="AG50" s="17" t="n">
        <v>93690</v>
      </c>
      <c r="AH50" s="17" t="n">
        <v>5995</v>
      </c>
      <c r="AI50" s="13" t="inlineStr"/>
      <c r="AJ50" s="13" t="inlineStr"/>
      <c r="AK50" s="13" t="inlineStr">
        <is>
          <t>5a1f3794-1251-431a-b97d-4cf2107ffed8</t>
        </is>
      </c>
    </row>
    <row r="51" ht="78" customHeight="1">
      <c r="A51" s="20" t="inlineStr">
        <is>
          <t>3d458c2a</t>
        </is>
      </c>
      <c r="B51" s="21" t="inlineStr">
        <is>
          <t>Regenerated today - outline now present (first run was empty context, second run healthy)</t>
        </is>
      </c>
      <c r="C51" s="21" t="inlineStr">
        <is>
          <t>APPROVE to generating_prompt.</t>
        </is>
      </c>
      <c r="D51" s="12" t="inlineStr">
        <is>
          <t>Mechanical: Dynamo import header rows and direct cell links, 131 unique formulas. High Foundational risk.</t>
        </is>
      </c>
      <c r="E51" s="12" t="inlineStr">
        <is>
          <t>12 bullets, 6602 chars. Last run 75,099 in / 5,726 out.</t>
        </is>
      </c>
      <c r="F51" s="13" t="inlineStr">
        <is>
          <t>A1_no_outline</t>
        </is>
      </c>
      <c r="G51" s="12" t="inlineStr">
        <is>
          <t>apathy@uchicago.edu</t>
        </is>
      </c>
      <c r="H51" s="14" t="n">
        <v>0.556</v>
      </c>
      <c r="I51" s="13" t="n">
        <v>9</v>
      </c>
      <c r="J51" s="15" t="n">
        <v>46266.91615940972</v>
      </c>
      <c r="K51" s="16" t="n">
        <v>0.1</v>
      </c>
      <c r="L51" s="13" t="n">
        <v>2</v>
      </c>
      <c r="M51" s="13" t="n">
        <v>3</v>
      </c>
      <c r="N51" s="13" t="n">
        <v>1</v>
      </c>
      <c r="O51" s="13" t="inlineStr">
        <is>
          <t>ali@meridian.ai</t>
        </is>
      </c>
      <c r="P51" s="13" t="b">
        <v>1</v>
      </c>
      <c r="Q51" s="13" t="n">
        <v>6602</v>
      </c>
      <c r="R51" s="13" t="n"/>
      <c r="S51" s="13" t="n">
        <v>12</v>
      </c>
      <c r="T51" s="13" t="n">
        <v>69</v>
      </c>
      <c r="U51" s="13" t="n">
        <v>131</v>
      </c>
      <c r="V51" s="13" t="b">
        <v>1</v>
      </c>
      <c r="W51" s="13" t="inlineStr">
        <is>
          <t>bbe-N-1.xlsx</t>
        </is>
      </c>
      <c r="X51" s="13" t="n">
        <v>981</v>
      </c>
      <c r="Y51" s="13" t="inlineStr">
        <is>
          <t>bbe-N-0.xlsx</t>
        </is>
      </c>
      <c r="Z51" s="13" t="n">
        <v>986</v>
      </c>
      <c r="AA51" s="13" t="b">
        <v>0</v>
      </c>
      <c r="AB51" s="13" t="b">
        <v>0</v>
      </c>
      <c r="AC51" s="13" t="b">
        <v>0</v>
      </c>
      <c r="AD51" s="13" t="n">
        <v>2</v>
      </c>
      <c r="AE51" s="13" t="n">
        <v>1</v>
      </c>
      <c r="AF51" s="13" t="inlineStr">
        <is>
          <t>completed</t>
        </is>
      </c>
      <c r="AG51" s="17" t="n">
        <v>75099</v>
      </c>
      <c r="AH51" s="17" t="n">
        <v>5726</v>
      </c>
      <c r="AI51" s="13" t="inlineStr"/>
      <c r="AJ51" s="13" t="inlineStr">
        <is>
          <t>b8b1b057-079f-4115-9bfc-a24d646eca43</t>
        </is>
      </c>
      <c r="AK51" s="13" t="inlineStr">
        <is>
          <t>3d458c2a-cfe5-4a22-9f35-1c48780f5a38</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30" customWidth="1" min="3" max="3"/>
    <col width="9" customWidth="1" min="4" max="4"/>
    <col width="30" customWidth="1" min="5" max="5"/>
    <col width="9" customWidth="1" min="6" max="6"/>
    <col width="9" customWidth="1" min="7" max="7"/>
    <col width="10" customWidth="1" min="8" max="8"/>
    <col width="8" customWidth="1" min="9" max="9"/>
    <col width="9" customWidth="1" min="10" max="10"/>
    <col width="60" customWidth="1" min="11" max="11"/>
    <col width="60" customWidth="1" min="12" max="12"/>
    <col width="70" customWidth="1" min="13" max="13"/>
    <col width="38" customWidth="1" min="14" max="14"/>
  </cols>
  <sheetData>
    <row r="1">
      <c r="A1" s="9" t="inlineStr">
        <is>
          <t>Task</t>
        </is>
      </c>
      <c r="B1" s="9" t="inlineStr">
        <is>
          <t>Decomper</t>
        </is>
      </c>
      <c r="C1" s="9" t="inlineStr">
        <is>
          <t>Input workbook</t>
        </is>
      </c>
      <c r="D1" s="9" t="inlineStr">
        <is>
          <t>Input KB</t>
        </is>
      </c>
      <c r="E1" s="9" t="inlineStr">
        <is>
          <t>Output workbook</t>
        </is>
      </c>
      <c r="F1" s="9" t="inlineStr">
        <is>
          <t>Output KB</t>
        </is>
      </c>
      <c r="G1" s="9" t="inlineStr">
        <is>
          <t>Largest &gt; 4MB</t>
        </is>
      </c>
      <c r="H1" s="9" t="inlineStr">
        <is>
          <t>Unique formulas</t>
        </is>
      </c>
      <c r="I1" s="9" t="inlineStr">
        <is>
          <t>Agent runs</t>
        </is>
      </c>
      <c r="J1" s="9" t="inlineStr">
        <is>
          <t>Empty-context runs</t>
        </is>
      </c>
      <c r="K1" s="9" t="inlineStr">
        <is>
          <t>Run times (UTC) and tokens in/out</t>
        </is>
      </c>
      <c r="L1" s="9" t="inlineStr">
        <is>
          <t>Transition description (what the decomper removed)</t>
        </is>
      </c>
      <c r="M1" s="9" t="inlineStr">
        <is>
          <t>Recommended action</t>
        </is>
      </c>
      <c r="N1" s="9" t="inlineStr">
        <is>
          <t>Task ID</t>
        </is>
      </c>
    </row>
    <row r="2" ht="90" customHeight="1">
      <c r="A2" s="13" t="inlineStr">
        <is>
          <t>7215fd35</t>
        </is>
      </c>
      <c r="B2" s="13" t="inlineStr">
        <is>
          <t>alec.tseung@toptal.com</t>
        </is>
      </c>
      <c r="C2" s="13" t="inlineStr">
        <is>
          <t>08.27_139_N-3.xlsx</t>
        </is>
      </c>
      <c r="D2" s="13" t="n">
        <v>4614</v>
      </c>
      <c r="E2" s="13" t="inlineStr">
        <is>
          <t>08.27_139_N-2.xlsx</t>
        </is>
      </c>
      <c r="F2" s="13" t="n">
        <v>6417</v>
      </c>
      <c r="G2" s="13" t="b">
        <v>1</v>
      </c>
      <c r="H2" s="13" t="n">
        <v>220747</v>
      </c>
      <c r="I2" s="13" t="n">
        <v>2</v>
      </c>
      <c r="J2" s="13" t="n">
        <v>2</v>
      </c>
      <c r="K2" s="12" t="inlineStr">
        <is>
          <t>2026-09-01T18:22 completed 5392/1 | 2026-09-01T21:57 completed 5384/1</t>
        </is>
      </c>
      <c r="L2" s="12" t="inlineStr">
        <is>
          <t>Cleared formulae across Provider Summary, P&amp;L Summary, QE2 Provider by Modality, QE5b Provider Comp, Industry Benchmark Source, Management Fee, Physician Detail, CSC Vol &amp; Fin Inputs, BCSC Vol &amp; Fin Inputs, and IT Amounts tabs</t>
        </is>
      </c>
      <c r="M2" s="12" t="inlineStr">
        <is>
          <t>HOLD. Do not re-run. Workbook is over 4MB and has failed 2 of 2 runs (5,38x input tokens = workbook never loaded). Needs an engineering fix to the outline agent, or a manual outline.</t>
        </is>
      </c>
      <c r="N2" s="13" t="inlineStr">
        <is>
          <t>7215fd35-f477-44af-b6f1-b38348ebe264</t>
        </is>
      </c>
    </row>
    <row r="3" ht="90" customHeight="1">
      <c r="A3" s="13" t="inlineStr">
        <is>
          <t>3d3b229e</t>
        </is>
      </c>
      <c r="B3" s="13" t="inlineStr">
        <is>
          <t>alec.tseung@toptal.com</t>
        </is>
      </c>
      <c r="C3" s="13" t="inlineStr">
        <is>
          <t>08.27_139_N-5.xlsx</t>
        </is>
      </c>
      <c r="D3" s="13" t="n">
        <v>4162</v>
      </c>
      <c r="E3" s="13" t="inlineStr">
        <is>
          <t>08.27_139_N-4.xlsx</t>
        </is>
      </c>
      <c r="F3" s="13" t="n">
        <v>4446</v>
      </c>
      <c r="G3" s="13" t="b">
        <v>1</v>
      </c>
      <c r="H3" s="13" t="n">
        <v>22547</v>
      </c>
      <c r="I3" s="13" t="n">
        <v>2</v>
      </c>
      <c r="J3" s="13" t="n">
        <v>2</v>
      </c>
      <c r="K3" s="12" t="inlineStr">
        <is>
          <t>2026-09-01T18:32 completed 5391/4 | 2026-09-01T21:57 completed 5387/7</t>
        </is>
      </c>
      <c r="L3" s="12" t="inlineStr">
        <is>
          <t>Cleared remaining formulae in the workbook</t>
        </is>
      </c>
      <c r="M3" s="12" t="inlineStr">
        <is>
          <t>HOLD. Do not re-run. Workbook is over 4MB and has failed 2 of 2 runs (5,38x input tokens = workbook never loaded). Needs an engineering fix to the outline agent, or a manual outline.</t>
        </is>
      </c>
      <c r="N3" s="13" t="inlineStr">
        <is>
          <t>3d3b229e-0507-4539-8343-193a679d5f5c</t>
        </is>
      </c>
    </row>
    <row r="4" ht="90" customHeight="1">
      <c r="A4" s="13" t="inlineStr">
        <is>
          <t>337252e6</t>
        </is>
      </c>
      <c r="B4" s="13" t="inlineStr">
        <is>
          <t>alec.tseung@toptal.com</t>
        </is>
      </c>
      <c r="C4" s="13" t="inlineStr">
        <is>
          <t>08.27_139_N-2.xlsx</t>
        </is>
      </c>
      <c r="D4" s="13" t="n">
        <v>6417</v>
      </c>
      <c r="E4" s="13" t="inlineStr">
        <is>
          <t>08.27_139_N-1.xlsx</t>
        </is>
      </c>
      <c r="F4" s="13" t="n">
        <v>6852</v>
      </c>
      <c r="G4" s="13" t="b">
        <v>1</v>
      </c>
      <c r="H4" s="13" t="n">
        <v>17725</v>
      </c>
      <c r="I4" s="13" t="n">
        <v>2</v>
      </c>
      <c r="J4" s="13" t="n">
        <v>2</v>
      </c>
      <c r="K4" s="12" t="inlineStr">
        <is>
          <t>2026-09-01T18:17 completed 5389/4 | 2026-09-01T21:57 completed 5387/1</t>
        </is>
      </c>
      <c r="L4" s="12" t="inlineStr">
        <is>
          <t>Cleared formulae across the key calculation tabs of the model</t>
        </is>
      </c>
      <c r="M4" s="12" t="inlineStr">
        <is>
          <t>HOLD. Do not re-run. Workbook is over 4MB and has failed 2 of 2 runs (5,38x input tokens = workbook never loaded). Needs an engineering fix to the outline agent, or a manual outline.</t>
        </is>
      </c>
      <c r="N4" s="13" t="inlineStr">
        <is>
          <t>337252e6-80dc-4b36-b284-7b83b4e5617f</t>
        </is>
      </c>
    </row>
    <row r="5" ht="90" customHeight="1">
      <c r="A5" s="13" t="inlineStr">
        <is>
          <t>8a8066ff</t>
        </is>
      </c>
      <c r="B5" s="13" t="inlineStr">
        <is>
          <t>alec.tseung@toptal.com</t>
        </is>
      </c>
      <c r="C5" s="13" t="inlineStr">
        <is>
          <t>08.27_139_N-4.xlsx</t>
        </is>
      </c>
      <c r="D5" s="13" t="n">
        <v>4446</v>
      </c>
      <c r="E5" s="13" t="inlineStr">
        <is>
          <t>08.27_139_N-3.xlsx</t>
        </is>
      </c>
      <c r="F5" s="13" t="n">
        <v>4614</v>
      </c>
      <c r="G5" s="13" t="b">
        <v>1</v>
      </c>
      <c r="H5" s="13" t="n">
        <v>14594</v>
      </c>
      <c r="I5" s="13" t="n">
        <v>2</v>
      </c>
      <c r="J5" s="13" t="n">
        <v>2</v>
      </c>
      <c r="K5" s="12" t="inlineStr">
        <is>
          <t>2026-09-01T18:27 completed 5390/1 | 2026-09-01T21:57 completed 5390/5</t>
        </is>
      </c>
      <c r="L5" s="12" t="inlineStr">
        <is>
          <t>Cleared formulae mainly across Fin Stage, Monthly TB - Entity, Adjustments Base Case/Valuation, Integrated Valuation, INT|MSO, 6. Int – MSO, 8. R&amp;M tabs</t>
        </is>
      </c>
      <c r="M5" s="12" t="inlineStr">
        <is>
          <t>HOLD. Do not re-run. Workbook is over 4MB and has failed 2 of 2 runs (5,38x input tokens = workbook never loaded). Needs an engineering fix to the outline agent, or a manual outline.</t>
        </is>
      </c>
      <c r="N5" s="13" t="inlineStr">
        <is>
          <t>8a8066ff-7624-4fc5-981f-52a666b28967</t>
        </is>
      </c>
    </row>
    <row r="6" ht="90" customHeight="1">
      <c r="A6" s="13" t="inlineStr">
        <is>
          <t>906892cf</t>
        </is>
      </c>
      <c r="B6" s="13" t="inlineStr">
        <is>
          <t>infinitearbitrage@gmail.com</t>
        </is>
      </c>
      <c r="C6" s="13" t="inlineStr">
        <is>
          <t>08.29_117 N-5.xlsx</t>
        </is>
      </c>
      <c r="D6" s="13" t="n">
        <v>7602</v>
      </c>
      <c r="E6" s="13" t="inlineStr">
        <is>
          <t>08.29_117 N-4.xlsx</t>
        </is>
      </c>
      <c r="F6" s="13" t="n">
        <v>7682</v>
      </c>
      <c r="G6" s="13" t="b">
        <v>1</v>
      </c>
      <c r="H6" s="13" t="n">
        <v>1847</v>
      </c>
      <c r="I6" s="13" t="n">
        <v>2</v>
      </c>
      <c r="J6" s="13" t="n">
        <v>2</v>
      </c>
      <c r="K6" s="12" t="inlineStr">
        <is>
          <t>2026-09-01T10:24 completed 5385/1 | 2026-09-01T21:57 completed 5386/4</t>
        </is>
      </c>
      <c r="L6" s="12" t="inlineStr">
        <is>
          <t xml:space="preserve">maintenance analysis tab entirely and bandwidth tab and ratio tab with its dependent cells </t>
        </is>
      </c>
      <c r="M6" s="12" t="inlineStr">
        <is>
          <t>HOLD. Do not re-run. Workbook is over 4MB and has failed 2 of 2 runs (5,38x input tokens = workbook never loaded). Needs an engineering fix to the outline agent, or a manual outline.</t>
        </is>
      </c>
      <c r="N6" s="13" t="inlineStr">
        <is>
          <t>906892cf-1049-4c2d-99ef-404e461c776f</t>
        </is>
      </c>
    </row>
    <row r="7" ht="90" customHeight="1">
      <c r="A7" s="13" t="inlineStr">
        <is>
          <t>25613ef5</t>
        </is>
      </c>
      <c r="B7" s="13" t="inlineStr">
        <is>
          <t>wangche2532@gmail.com</t>
        </is>
      </c>
      <c r="C7" s="13" t="inlineStr">
        <is>
          <t>08.30_48 N-6.xlsx</t>
        </is>
      </c>
      <c r="D7" s="13" t="n">
        <v>406</v>
      </c>
      <c r="E7" s="13" t="inlineStr">
        <is>
          <t>08.30_48 N-5.xlsx</t>
        </is>
      </c>
      <c r="F7" s="13" t="n">
        <v>481</v>
      </c>
      <c r="G7" s="13" t="b">
        <v>0</v>
      </c>
      <c r="H7" s="13" t="n">
        <v>8528</v>
      </c>
      <c r="I7" s="13" t="n">
        <v>2</v>
      </c>
      <c r="J7" s="13" t="n">
        <v>2</v>
      </c>
      <c r="K7" s="12" t="inlineStr">
        <is>
          <t>2026-09-01T13:25 completed 5389/1 | 2026-09-01T21:57 completed 5391/4</t>
        </is>
      </c>
      <c r="L7" s="12" t="inlineStr">
        <is>
          <t>Delete tabs: INT - Incr Vol Build, Deprec. Calc, Calculator, Summary Output, 4. Profile
Clear content: 'INT - P&amp;L'!A18:BF281, 'INT - Val &amp; Returns'!A3:PK113, Amortization!A15:CE236, Inputs!A2:AE54</t>
        </is>
      </c>
      <c r="M7" s="12" t="inlineStr">
        <is>
          <t>Regenerate outline once more. File is small (405KB / 481KB) and has had 2 empty run(s); if it keeps failing treat like the large-file cases.</t>
        </is>
      </c>
      <c r="N7" s="13" t="inlineStr">
        <is>
          <t>25613ef5-50aa-4ab2-b49a-4ea4b4dc519a</t>
        </is>
      </c>
    </row>
    <row r="8" ht="90" customHeight="1">
      <c r="A8" s="13" t="inlineStr">
        <is>
          <t>437756ce</t>
        </is>
      </c>
      <c r="B8" s="13" t="inlineStr">
        <is>
          <t>wangche2532@gmail.com</t>
        </is>
      </c>
      <c r="C8" s="13" t="inlineStr">
        <is>
          <t>08.31_47 N-2.xlsx</t>
        </is>
      </c>
      <c r="D8" s="13" t="n">
        <v>250</v>
      </c>
      <c r="E8" s="13" t="inlineStr">
        <is>
          <t>08.31_47 N-1.xlsx</t>
        </is>
      </c>
      <c r="F8" s="13" t="n">
        <v>260</v>
      </c>
      <c r="G8" s="13" t="b">
        <v>0</v>
      </c>
      <c r="H8" s="13" t="n">
        <v>211</v>
      </c>
      <c r="I8" s="13" t="n">
        <v>1</v>
      </c>
      <c r="J8" s="13" t="n">
        <v>1</v>
      </c>
      <c r="K8" s="12" t="inlineStr">
        <is>
          <t>2026-09-02T00:01 completed 5391/1</t>
        </is>
      </c>
      <c r="L8" s="12" t="inlineStr">
        <is>
          <t>Delete tabs: Northstar Partners Cash Flow &amp;
Clear content: Inputs &amp; Assumptions!F74:K78, Inputs &amp; Assumptions!D80:K99</t>
        </is>
      </c>
      <c r="M8" s="12" t="inlineStr">
        <is>
          <t>Regenerate outline once more. File is small (249KB / 259KB) and has had 1 empty run(s); if it keeps failing treat like the large-file cases.</t>
        </is>
      </c>
      <c r="N8" s="13" t="inlineStr">
        <is>
          <t>437756ce-b81b-403d-8a2d-be439ba78b4a</t>
        </is>
      </c>
    </row>
    <row r="10">
      <c r="A10" s="2" t="inlineStr">
        <is>
          <t>Why "empty context": a healthy outline run reads the two workbooks and shows 60k-1.8M input tokens. These runs show ~5,384 input tokens and 1-7 output tokens: the prompt scaffolding with no workbook attached. The agent still reports status=completed, the python step strips the non-bullet output to nothing, and the backfill writes an empty task_outline.</t>
        </is>
      </c>
    </row>
    <row r="11">
      <c r="A11" s="2" t="inlineStr">
        <is>
          <t>Size evidence (all sheets tasks since 08-26, from Metabase): empty-run share is 12% under 1MB, 24% at 1-2MB, 30% at 2-4MB, 32% at 4-6MB, 38% over 6MB. In this queue every &gt;4MB task failed both attempts.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26" customWidth="1" min="3" max="3"/>
    <col width="9" customWidth="1" min="4" max="4"/>
    <col width="9" customWidth="1" min="5" max="5"/>
    <col width="50" customWidth="1" min="6" max="6"/>
    <col width="140" customWidth="1" min="7" max="7"/>
    <col width="38" customWidth="1" min="8" max="8"/>
  </cols>
  <sheetData>
    <row r="1">
      <c r="A1" s="9" t="inlineStr">
        <is>
          <t>Task</t>
        </is>
      </c>
      <c r="B1" s="9" t="inlineStr">
        <is>
          <t>Recommended action</t>
        </is>
      </c>
      <c r="C1" s="9" t="inlineStr">
        <is>
          <t>Decomper</t>
        </is>
      </c>
      <c r="D1" s="9" t="inlineStr">
        <is>
          <t>Unique formulas</t>
        </is>
      </c>
      <c r="E1" s="9" t="inlineStr">
        <is>
          <t>Outline chars</t>
        </is>
      </c>
      <c r="F1" s="9" t="inlineStr">
        <is>
          <t>Transition description</t>
        </is>
      </c>
      <c r="G1" s="9" t="inlineStr">
        <is>
          <t>Task outline (as stored)</t>
        </is>
      </c>
      <c r="H1" s="9" t="inlineStr">
        <is>
          <t>Task ID</t>
        </is>
      </c>
    </row>
    <row r="2" ht="300" customHeight="1">
      <c r="A2" s="13" t="inlineStr">
        <is>
          <t>7215fd35</t>
        </is>
      </c>
      <c r="B2" s="12" t="inlineStr">
        <is>
          <t>HOLD. Do not re-run. Workbook is over 4MB and has failed 2 of 2 runs (5,38x input tokens = workbook never loaded). Needs an engineering fix to the outline agent, or a manual outline.</t>
        </is>
      </c>
      <c r="C2" s="13" t="inlineStr">
        <is>
          <t>alec.tseung@toptal.com</t>
        </is>
      </c>
      <c r="D2" s="13" t="n">
        <v>220747</v>
      </c>
      <c r="E2" s="13" t="n">
        <v>0</v>
      </c>
      <c r="F2" s="12" t="inlineStr">
        <is>
          <t>Cleared formulae across Provider Summary, P&amp;L Summary, QE2 Provider by Modality, QE5b Provider Comp, Industry Benchmark Source, Management Fee, Physician Detail, CSC Vol &amp; Fin Inputs, BCSC Vol &amp; Fin Inputs, and IT Amounts tabs</t>
        </is>
      </c>
      <c r="G2" s="12" t="inlineStr"/>
      <c r="H2" s="13" t="inlineStr">
        <is>
          <t>7215fd35-f477-44af-b6f1-b38348ebe264</t>
        </is>
      </c>
    </row>
    <row r="3" ht="300" customHeight="1">
      <c r="A3" s="13" t="inlineStr">
        <is>
          <t>3d3b229e</t>
        </is>
      </c>
      <c r="B3" s="12" t="inlineStr">
        <is>
          <t>HOLD. Do not re-run. Workbook is over 4MB and has failed 2 of 2 runs (5,38x input tokens = workbook never loaded). Needs an engineering fix to the outline agent, or a manual outline.</t>
        </is>
      </c>
      <c r="C3" s="13" t="inlineStr">
        <is>
          <t>alec.tseung@toptal.com</t>
        </is>
      </c>
      <c r="D3" s="13" t="n">
        <v>22547</v>
      </c>
      <c r="E3" s="13" t="n">
        <v>0</v>
      </c>
      <c r="F3" s="12" t="inlineStr">
        <is>
          <t>Cleared remaining formulae in the workbook</t>
        </is>
      </c>
      <c r="G3" s="12" t="inlineStr"/>
      <c r="H3" s="13" t="inlineStr">
        <is>
          <t>3d3b229e-0507-4539-8343-193a679d5f5c</t>
        </is>
      </c>
    </row>
    <row r="4" ht="300" customHeight="1">
      <c r="A4" s="13" t="inlineStr">
        <is>
          <t>337252e6</t>
        </is>
      </c>
      <c r="B4" s="12" t="inlineStr">
        <is>
          <t>HOLD. Do not re-run. Workbook is over 4MB and has failed 2 of 2 runs (5,38x input tokens = workbook never loaded). Needs an engineering fix to the outline agent, or a manual outline.</t>
        </is>
      </c>
      <c r="C4" s="13" t="inlineStr">
        <is>
          <t>alec.tseung@toptal.com</t>
        </is>
      </c>
      <c r="D4" s="13" t="n">
        <v>17725</v>
      </c>
      <c r="E4" s="13" t="n">
        <v>0</v>
      </c>
      <c r="F4" s="12" t="inlineStr">
        <is>
          <t>Cleared formulae across the key calculation tabs of the model</t>
        </is>
      </c>
      <c r="G4" s="12" t="inlineStr"/>
      <c r="H4" s="13" t="inlineStr">
        <is>
          <t>337252e6-80dc-4b36-b284-7b83b4e5617f</t>
        </is>
      </c>
    </row>
    <row r="5" ht="300" customHeight="1">
      <c r="A5" s="13" t="inlineStr">
        <is>
          <t>8a8066ff</t>
        </is>
      </c>
      <c r="B5" s="12" t="inlineStr">
        <is>
          <t>HOLD. Do not re-run. Workbook is over 4MB and has failed 2 of 2 runs (5,38x input tokens = workbook never loaded). Needs an engineering fix to the outline agent, or a manual outline.</t>
        </is>
      </c>
      <c r="C5" s="13" t="inlineStr">
        <is>
          <t>alec.tseung@toptal.com</t>
        </is>
      </c>
      <c r="D5" s="13" t="n">
        <v>14594</v>
      </c>
      <c r="E5" s="13" t="n">
        <v>0</v>
      </c>
      <c r="F5" s="12" t="inlineStr">
        <is>
          <t>Cleared formulae mainly across Fin Stage, Monthly TB - Entity, Adjustments Base Case/Valuation, Integrated Valuation, INT|MSO, 6. Int – MSO, 8. R&amp;M tabs</t>
        </is>
      </c>
      <c r="G5" s="12" t="inlineStr"/>
      <c r="H5" s="13" t="inlineStr">
        <is>
          <t>8a8066ff-7624-4fc5-981f-52a666b28967</t>
        </is>
      </c>
    </row>
    <row r="6" ht="300" customHeight="1">
      <c r="A6" s="13" t="inlineStr">
        <is>
          <t>906892cf</t>
        </is>
      </c>
      <c r="B6" s="12" t="inlineStr">
        <is>
          <t>HOLD. Do not re-run. Workbook is over 4MB and has failed 2 of 2 runs (5,38x input tokens = workbook never loaded). Needs an engineering fix to the outline agent, or a manual outline.</t>
        </is>
      </c>
      <c r="C6" s="13" t="inlineStr">
        <is>
          <t>infinitearbitrage@gmail.com</t>
        </is>
      </c>
      <c r="D6" s="13" t="n">
        <v>1847</v>
      </c>
      <c r="E6" s="13" t="n">
        <v>0</v>
      </c>
      <c r="F6" s="12" t="inlineStr">
        <is>
          <t xml:space="preserve">maintenance analysis tab entirely and bandwidth tab and ratio tab with its dependent cells </t>
        </is>
      </c>
      <c r="G6" s="12" t="inlineStr"/>
      <c r="H6" s="13" t="inlineStr">
        <is>
          <t>906892cf-1049-4c2d-99ef-404e461c776f</t>
        </is>
      </c>
    </row>
    <row r="7" ht="300" customHeight="1">
      <c r="A7" s="13" t="inlineStr">
        <is>
          <t>25613ef5</t>
        </is>
      </c>
      <c r="B7" s="12" t="inlineStr">
        <is>
          <t>Regenerate outline once more. File is small (405KB / 481KB) and has had 2 empty run(s); if it keeps failing treat like the large-file cases.</t>
        </is>
      </c>
      <c r="C7" s="13" t="inlineStr">
        <is>
          <t>wangche2532@gmail.com</t>
        </is>
      </c>
      <c r="D7" s="13" t="n">
        <v>8528</v>
      </c>
      <c r="E7" s="13" t="n">
        <v>0</v>
      </c>
      <c r="F7" s="12" t="inlineStr">
        <is>
          <t>Delete tabs: INT - Incr Vol Build, Deprec. Calc, Calculator, Summary Output, 4. Profile
Clear content: 'INT - P&amp;L'!A18:BF281, 'INT - Val &amp; Returns'!A3:PK113, Amortization!A15:CE236, Inputs!A2:AE54</t>
        </is>
      </c>
      <c r="G7" s="12" t="inlineStr"/>
      <c r="H7" s="13" t="inlineStr">
        <is>
          <t>25613ef5-50aa-4ab2-b49a-4ea4b4dc519a</t>
        </is>
      </c>
    </row>
    <row r="8" ht="300" customHeight="1">
      <c r="A8" s="13" t="inlineStr">
        <is>
          <t>437756ce</t>
        </is>
      </c>
      <c r="B8" s="12" t="inlineStr">
        <is>
          <t>Regenerate outline once more. File is small (249KB / 259KB) and has had 1 empty run(s); if it keeps failing treat like the large-file cases.</t>
        </is>
      </c>
      <c r="C8" s="13" t="inlineStr">
        <is>
          <t>wangche2532@gmail.com</t>
        </is>
      </c>
      <c r="D8" s="13" t="n">
        <v>211</v>
      </c>
      <c r="E8" s="13" t="n">
        <v>0</v>
      </c>
      <c r="F8" s="12" t="inlineStr">
        <is>
          <t>Delete tabs: Northstar Partners Cash Flow &amp;
Clear content: Inputs &amp; Assumptions!F74:K78, Inputs &amp; Assumptions!D80:K99</t>
        </is>
      </c>
      <c r="G8" s="12" t="inlineStr"/>
      <c r="H8" s="13" t="inlineStr">
        <is>
          <t>437756ce-b81b-403d-8a2d-be439ba78b4a</t>
        </is>
      </c>
    </row>
    <row r="9" ht="300" customHeight="1">
      <c r="A9" s="13" t="inlineStr">
        <is>
          <t>a5f013b8</t>
        </is>
      </c>
      <c r="B9" s="12" t="inlineStr">
        <is>
          <t>APPROVE to generating_prompt.</t>
        </is>
      </c>
      <c r="C9" s="13" t="inlineStr">
        <is>
          <t>apathy@uchicago.edu</t>
        </is>
      </c>
      <c r="D9" s="13" t="n">
        <v>20166</v>
      </c>
      <c r="E9" s="13" t="n">
        <v>12065</v>
      </c>
      <c r="F9" s="12" t="inlineStr">
        <is>
          <t>Cleared Pro Forma, D&amp;A &amp; Debt Schedules, DCF &amp; IRR, Intangible Asset Amortization, Physician Inputs, Volume &amp; Financial Inputs, Inputs &amp; Assumptions, Valuation Assumptions.</t>
        </is>
      </c>
      <c r="G9" s="12" t="inlineStr">
        <is>
          <t>- Build the Volume &amp; Financial Inputs tab as the historical TTM aggregator: create the FY/YTD/TTM column headers with the reporting date pulled from Inputs &amp; Assumptions!E14, then pull each P&amp;L line (Net Patient Revenue, Other Revenue, Supplies, SWB, Other Variable Direct/Indirect, Rent, Other Fixed, Bad Debt, Mgmt Fees, Depreciation, Interest, Other Expense/Income, UL and FL facility cash) from the corresponding TTM Dec17 and Apr18 TTM cells, and compute TTM = FY − YTD + partial-year, with EBITDA and Net Income subtotals plus OK/CHECK reconciliations against the sums. Add a Surgical Cases row linked from MD Summary Center and Physician Inputs, then a per-case metrics block dividing each cost/revenue line by cases for FY, partial-year, and TTM columns.
- Build the Physician Inputs tab: (a) a KPIs &amp; Volume by Physician block with monthly columns whose dates roll back from Inputs &amp; Assumptions!E14 via EOMONTH, physician names pulled from MD Summary Center rows 6–79, monthly volumes pulled from MD Summary Center columns L–W, a TTM volume SUM across the 12 months, and a TTM Revenue column computed as NPR/Case × TTM volume; (b) a Total row using SUBTOTAL(109,...) and a per-IS tie-out to Volume &amp; Financial Inputs!K37 and K11; (c) a KPIs &amp; Volume by Specialty block using COUNTIF to count MDs and SUMIF to aggregate the monthly and TTM volumes/revenues by specialty, with a total row; (d) a Center Specific Seasonality block that MONTHs each column header, uses INDEX/MATCH against the Working Days Database to fetch working days per month, computes volume/day, then computes seasonality index vs. TTM average; (e) populate the month-date column B in the Working Days Database (rows 115–270) via EOMONTH stepping from a January-2014 seed while leaving the working-day counts already in column C intact.
- On the Inputs &amp; Assumptions tab, extend the CapEx schedule row (E95:I95) so year 1 pulls from Volume &amp; Financial Inputs!K26 and each subsequent year references the prior year, and add the SUM total row (E97:I97); wire Modeled Year 1 Non-Compete and Mgmt Agmt amortization inputs to the Intangible Asset Amortization outputs (B22 and B20).
- Build the Intangible Asset Amortization tab: pull Year 1 Revenue, EBIT (= EBITDA − Modeled Year 1 Dep), and Estimated Mgmt Fees from Pro Forma column CD; pull growth rate, discount rate, and tax rate from DCF &amp; IRR; pull non-compete term from Inputs &amp; Assumptions!E107 and Mgmt Expense per center from Inputs &amp; Assumptions!G79. Add hardcodes: probability-adjusted impact of competition (increase from 15% to 25%), synergy discount rate override IF(B8=14%,20%,18%), and multipliers 0.85 and 1/3. Compute Management Agreement value as (($B$6*B12/3)*(1-$B$9))/(1+$D$8)*0.85 and Non-Compete value as ((($B$5*$B$11)*(1-$B$9))/($B$8-$B$7))*(1-((1+$B$7)/(1+$B$8))^$B$10)*(1+$D$8)*0.85; divide each by its life (from Inputs &amp; Assumptions E110 and E107) to get amortization/year, then total and add an OK/CHECK against the D&amp;A &amp; Debt Schedules amortization row.
- Build the D&amp;A &amp; Debt Schedules tab: (a) an assumptions block that pulls TTM Dep and Post-Close Dep from Inputs &amp; Assumptions rows 102/103, non-compete and mgmt-agmt amortization amounts and lives from Inputs &amp; Assumptions rows 106/107/109/110, and Facility Debt and Capital Lease terms from Inputs &amp; Assumptions rows 114–119 and J114–J119, including a payment computed via −PMT(rate/12,months,principal,0) when terms = "Principal &amp; Interest" and an "In Use?" flag = D29&gt;0; (b) a monthly time header (H:CA) that references Pro Forma row 1/2/3/4; (c) monthly rows for CapEx (HLOOKUP against Inputs &amp; Assumptions!$E$94:$I$97), Pre-Close and Post-Close Existing Depreciation, straight-line Depreciation on New Assets from the cumulative CapEx / period, Post-Close Amortization = non-compete/life/12 + mgmt-agmt/life/12, a fully-depreciated write-off via SUMIF against the CapEx history offset by the depreciation period, and Total D&amp;A summing rows 8–12; (d) a Facility Debt amortization roll (Starting = prior Ending, Principal = MAX(Payment−Interest,0), Interest = rate/12 × Starting, Ending = Start−Principal); (e) a Capital Lease schedule with an escalating annual payment (=$D$34*POWER(1+$D$33,ceil(month/12)−1)) capped by starting balance, plus Straight-line Depreciation = Principal/Term.
- Build the Pro Forma tab spine: header rows for month date (F4:BY4 via EOMONTH from Inputs &amp; Assumptions!E14), year label (row 3 = YEAR), Post-Close period counter (row 2 = "Pre-Close" until the close date then E2+1), and year-of-close index (row 1 = ROUNDUP(period/12,0)). Add a right-side summary block: Avg TTM Month column (E), TTM totals column (CC) pulling from Volume &amp; Financial Inputs, annual roll-up columns CD:CH using SUMIFS by row 1 year index, a CAGR column (CI) using POWER(CH/CC,1/5)−1, a Calendar Year block (CM:CT) linked directly to Volume &amp; Financial Inputs plus CO = CN+1 propagation, and a Stub Periods block (CW:CY) built as TTM anchor from Volume &amp; Financial Inputs!I column, YTD-to-Close as SUMIFS where row 2 = "Pre-Close" AND row 3 = YEAR(close), and Close-Dec as SUMIFS where row 3 = YEAR(close) AND row 2 &gt; 0.
- Build the Pro Forma Volume &amp; Contribution Build section (rows 5–41): Base Cases from prior month × (1 + Organic Case Growth), Base Revenue/Supplies/SWB per Case each rolled from prior period × (1 + organic and inorganic growth pulled via SUMIFS against Inputs &amp; Assumptions growth grids in rows 33–36 and 83–89); Decremental and Incremental cases/revenue/supplies/SWB via SUMIFS against Inputs &amp; Assumptions rows 40–56 (matched on row 2 period); Total Cases/Revenue/Supplies/SWB summing base + inc + dec; Working Days adjustment via VLOOKUP into Physician Inputs Working Days Database controlled by an ON/OFF switch, Seasonality adjustment (SUMIF into Physician Inputs seasonality row) also switch-controlled, and Total Adjusted Cases = Total × (1+WD) × (1+Seasonality).
- Build the Pro Forma monthly P&amp;L (rows 43–58): Surgical Cases = adjusted cases, Surgical Revenue = cases × NPR/Case, Other Revenue = prior × (1 + Other Revenue growth from Inputs &amp; Assumptions row 36), Supplies/SWB/Variable Direct = cases × per-case, Variable Indirect/Rent/Fixed = prior × (1 + growth from Inputs &amp; Assumptions rows 83–89) with Rent zeroed when lease is Capital, Bad Debt = Revenue × Bad Debt %, RBO Fee = Inputs &amp; Assumptions!E73 × (Revenue − Bad Debt) suppressed pre-close, Integration Expenses = Inputs &amp; Assumptions!E76 for months ≤ E76 cutoff, EBITDAM = Revenue − sum(costs).
- Build the Pro Forma Management Fee scenario block (rows 60–70): three scenario rows pulling scenario names from Inputs &amp; Assumptions rows 69–71, monthly fee formulas per scenario (Scenario 1 = fee% × (Surgical Revenue − Bad Debt); Scenario 2 = MIN(Scenario 1, cap × POWER(1+esc, year−1) minus prior YTD); Scenario 3 = fixed × POWER(1+esc, year−1)/12), % of NPR-BD and Northstar % of Fee driven via CHOOSE from Inputs &amp; Assumptions row 66, Active Scenario = CHOOSE(scenario#, S1, S2, S3), Northstar Mgmt Fee = Active × Northstar%, Other Mgmt Fee = Active × (1−Northstar%), EBITDA = EBITDAM − mgmt fees.
- Build the Pro Forma below-the-line rows (72–91): Depreciation &amp; Amortization, Interest Expense (facility + cap-lease) linked from D&amp;A &amp; Debt Schedules, Other Expense held flat from TTM, Net Income = EBITDA − D&amp;A − Interest − Other, NOPAT = (NI × Northstar% + (Mgmt Fee + Overhead)) × (1−tax); KPI block for per-case metrics (rows 80–86); Northstar/MD/Other equity % rows driven by pre-close vs. post-close columns of Inputs &amp; Assumptions rows 8–10; Bad Debt % of NPR; and a Growth block (rows 94–102) computing year-over-year change for each KPI plus SUMIF pulls of Other Revenue, Variable Direct/Indirect, Rent, and Fixed growth from Inputs &amp; Assumptions.
- Build the Pro Forma Unlevered Cash Flow section (rows 105–117): EBITDA link, LESS Rent if Cap Lease (from D&amp;A schedule row 31), LESS CapEx via HLOOKUP into Inputs &amp; Assumptions capex row/12, LESS ∆WC placeholder, UL Facility Cash sum; then Northstar layer: Northstar Distributions = UL Cash × Northstar%, LESS Northstar Taxes on Facility Earnings = MIN(−(NI+Interest) × Northstar% × tax, 0), ADD Northstar Mgmt Fee, LESS Northstar Overhead = Inputs &amp; Assumptions!G79/12 post-close, LESS Northstar Taxes on Mgmt Fee = MIN(−(Fee+Overhead) × tax, 0), UL AT Northstar Cash.
- Build the Pro Forma Facility Levered Cash Flow section (rows 119–137): EBITDA − Debt Principal (facility and cap lease from D&amp;A schedule rows 21/29) − Interest (rows 22/30) − CapEx − ∆WC = Facility Levered Cash, then MD/Other Distributions = FL Cash × their %; Northstar block mirrors the UL layer except taxes exclude Interest addback (uses only Net Income) — FL AT Northstar Cash sum.
- Build the Pro Forma IOI/E-NCI section (rows 139–173): switch on Inputs &amp; Assumptions!$E$12 = "Consolidated" vs. Equity to select the reporting basis; Consolidated IOI = EBITDA + Mgmt Fee − D&amp;A, Equity IOI = Net Income − Non-Controlling Income + Mgmt Fee, both zeroed when Northstar % = 0 and suppressed pre-close; parallel Consolidated E-NCI = EBITDAM − Other Mgmt Fee − NCI and Equity E-NCI = AT Northstar Cash − NCI + Mgmt Fee; Pre-Overhead and Post-Overhead lines that add/subtract the Northstar Overhead row.
- On the Valuation Assumptions tab, populate Multiple on Existing Fees (F9/Volume &amp; Financial Inputs!K22), the Unlevered valuation column H (TTM EBITDA from Volume &amp; Financial Inputs!K23 × Seller Multiple = EV, minus zero for existing debt/leases, times Northstar Equity % from Inputs &amp; Assumptions!K8, plus Mgmt Fee Buyout and Deal Costs = Northstar Cash Outlay; Pro Rata Debt Assumption = 0; Total Capital Outlay), and the Facility Levered column J with the same structure except Existing Facility Debt and Capital Leases pulled from Inputs &amp; Assumptions!E114 and J114 and Pro Rata Debt Assumption = Northstar % × (Debt + Leases).
- Build the DCF &amp; IRR tab Unlevered DCF (rows 5–32): assumption block pulling Income Tax from Inputs &amp; Assumptions!E92, hardcoded Working Capital % = 2.5%, close date pulled from Inputs &amp; Assumptions!E13, Discount Rate = 10%, Perpetuity Growth = 3%. Time header pulled from Pro Forma calendar-year block CO–CT with a Pre-Close/Close/Proj. classifier. Northstar AT Unlevered Cash pulled from Pro Forma row 117 across CO:CT, LESS ∆WC × Northstar %, Terminal Value in the final column = Cash × (1+g)/(r−g), Year Fraction via YEARFRAC to year-end capped at 1, Discount Period stepping (Close = YF/2, subsequent = prior + 1 half-year), PV Factor = 1/(1+r)^period, PV of CF and PV of TV, sum to Enterprise Value (Northstar Portion), LESS Northstar Debt from Valuation Assumptions!J35, Equity Value.
- Build the DCF &amp; IRR Unlevered IRR ladder (rows 34–42): a purchase-price row anchored at close date whose columns walk out one half-year then annual thereafter (DATE(YEAR(prior)+1,6,30)), five discount tiers (Current = −(Northstar Equity + Mgmt Fee Buyout) from Valuation Assumptions H30+H31, plus ±5% and ±10% and an At-LOI copy), each column populated via SUMIFS of the AT Unlevered Cash rows keyed on year (else grown by the perpetuity growth rate), and XIRR against the date row; add a DCF check row that compares implied XIRR to the discount rate.
- Build the DCF &amp; IRR Levered DCF and Levered IRR (rows 44–72) mirroring the Unlevered structure but pulling Northstar AT Levered Cash from Pro Forma row 137 and pricing Current from Valuation Assumptions J30+J31.
- Build the DCF &amp; IRR DCF Sensitivity two-way data table (rows 74–92): row headers = perpetuity growth ±0.5% around K9 (rows 78), column headers = discount rate ±1% around K8 (col D), with an Enterprise Value block and an E-NCI Multiple block that divides EV by Pro Forma!$CQ$159 to convert to multiple.
- Build the DCF &amp; IRR ROIC block (rows 94–105): year headers walking forward from YEAR(K7), NOPAT row pulled from Pro Forma row 77 (with a perpetuity extension via prior × (1+g)), and a matrix that divides cumulative NOPAT by each purchase-price scenario (−D101…−D105) to yield ROIC per year per price scenario.</t>
        </is>
      </c>
      <c r="H9" s="13" t="inlineStr">
        <is>
          <t>a5f013b8-ef14-4437-bea0-630504093c40</t>
        </is>
      </c>
    </row>
    <row r="10" ht="300" customHeight="1">
      <c r="A10" s="13" t="inlineStr">
        <is>
          <t>4f56a4bf</t>
        </is>
      </c>
      <c r="B10" s="12" t="inlineStr">
        <is>
          <t>APPROVE to generating_prompt.</t>
        </is>
      </c>
      <c r="C10" s="13" t="inlineStr">
        <is>
          <t>apathy@uchicago.edu</t>
        </is>
      </c>
      <c r="D10" s="13" t="n">
        <v>18080</v>
      </c>
      <c r="E10" s="13" t="n">
        <v>13635</v>
      </c>
      <c r="F10" s="12" t="inlineStr">
        <is>
          <t>Cleared BASE - Incr Vol Build, BASE - P&amp;L, BASE - Val &amp; Returns, INT - Incr Vol Build, INT - P&amp;L, INT - Val &amp; Returns, Amortization, Deprec. Calc, IT Amounts, Inputs, Calculator, Summary Output, 4. Profile.</t>
        </is>
      </c>
      <c r="G10" s="12" t="inlineStr">
        <is>
          <t>- On the "4. Profile" tab, add the facility-name banner cell in B1 as a pull from `'Vol &amp; Fin Inputs'!B1` so the facility name flows through downstream tabs.
- Build the "IT Amounts" reference table by adding the header row (Unit of Measure / Service Description / Unit Price / Verification), an annualized "Verification" column that multiplies each monthly per-unit price by 12 (with the local-server row carrying its own already-annualized figure), and a bundled-annual subtotal covering the facility/teammate/computer/mailbox/server/network/VPN lines. Then add a "One Time" section further down with subtotal formulas for Network Configuration (=SUM of firewall/switch/access-point/configuration line items, each computed as unit cost × quantity with quantities 1, 2, 5, 1), VoIP Vendor 001 Phone System (=SUM of two hardcoded components), Server Hardware/Support (=SUM of two components), Workstation (=SUM of workstation line = unit cost × 15), and HIPAA Assessment (=SUM), plus an aggregate one-time line "Ancellary Work" hardcoded as =2000+1000+1300.
- Build the "Inputs" tab: add the header/labels block (title "Operating Model v2025.01", Facility Information section with Facility Name pulled from `'4. Profile'!B1`, Facility Address "Street 123", Group "Acela"). Add the Management Services Agreement Fee line calculated as `=AVERAGE('INT - P&amp;L'!$AM$131:$AN$131)` with a floor-warning IF against the "Selected floor" cell that switches between 200000 / 250000 / 350000 based on the Calculator's framework selection (I7 = 1/2/3). Add the RCO Coding block (Estimated Annual Case Volume pulled as `=AVERAGE('INT - P&amp;L'!$AM$44:$AN$44)`, Case Mix % rows for Cataract/Spine/Other/GI-Assisted/IP+Obs, a "Case Mix Total" =SUM check, an Estimated Coding Annual Cost driven by cases × case-mix % × rates per case type with rate table hardcodes 6.1 / 8.9 / 2.3 / 7.5 / 19.1, and a validation message when the mix doesn't equal 100%). Add the IT Expense block driving off `IT Amounts` unit prices — annual services grouped by Facility (flat fee), Teammate (× # teammates from D9), Computer (× # PCs), Mailbox (60/40 license split via M30=0.6 / O30=0.4 × teammates), VPN (10% adoption via M31=0.1 rounded up × teammates), Local Server (× # servers), and Network Vendor 001 Equipment (× 8 devices) — plus recurring Internet/Phone/VoIP Management pulled from IT Amounts, an Annual Cost total (=K34+K40) and a One-Time Cost total that sums the IT Amounts one-time subtotals. Include hardcoded facility defaults: # Teammates = 15, # PCs derived from teammates, # Servers = 2, New Phone System = 1, Operations Costs 30636, Finance Costs 20215, Risk Management 0.
- Build the "Calculator" tab as the ASC services selection matrix: framework selector at I7 (values 1/2/3 = Standard / Standard + BD / Bundle), then rows per Support Service Lane (PAS &amp; Claims Clearinghouse, HR sub-items including Time Keeping and Payroll, Accounting, Treasury, Tax, Risk Management, Supply Chain, Clinical sub-items, Marketing &amp; Comms, Regulatory Compliance, Payer Engagement, RCO/CBO sub-items) with three columns of nested IFs mapping the selected option and framework tier to (J) Partnership annual cost, (K) Partnership one-time cost, and (L) MSA-included annual cost. Each row has an Option A/B/X selector at column D, an option-description echo at column I, and pass-through display columns F=J / G=K / H=L. Embed the pricing hardcodes: PAS Standard 32400; HR Standard 17448 (frameworks 1–2) / 27708 (framework 3); Time Keeping $6 per teammate per month; Time Keeping web app one-time 2000; Timeclock one-time 4915; Payroll $6.50 per teammate × 26 periods; Accounting Local 23900, Restricted 32700; Treasury MSA 2800 or Local 18000 annual + 300 one-time; Tax Standard 13460 annual + 22000 one-time; Clinical bundle 10000 MSA plus MCN 500/1000, RL Datix 800, SCT Core Compli 726, Survey Vendor 693, OAS CAHPS 3135, AORN 157; Marketing Templatized Website 2532 + 8500 one-time, Collaterals 500, Online Reputation 509 + 350 one-time, Monthly Optimization 1800, Website Improvements 2010; Regulatory Compliance 7000 MSA + 500 Extension of Practice; Payer Engagement Full Scope 31500. Then add the "Included in Framework" block with Operations pulling `Inputs!D12`, Finance pulling `Inputs!D13`, IT pulling `Inputs!D31` (annual) and `Inputs!H31` (one-time), Credentialing framework-3 driver = `Inputs!D10*31*12` annual and `Inputs!D10*30` one-time, and Business Development framework-1 = 43000. Add the "Sold Separately" block for Coding (pulls `Inputs!D24` when selected, else 5000 audit fallback), Credentialing (frameworks 1–2 pull provider-driven 31×12 / 30 costs, framework 3 zero), and Business Development (43000 when framework 1 selected). Close with grand totals F/G/H = SUM of all rows.
- Build the "Summary Output" tab as the printable summary of Calculator selections. For each Support Service row (OM Framework, PAS &amp; Claims Clearinghouse, HR, Accounting, Treasury, Tax, Risk Management, Supply Chain, Clinical, Marketing, Regulatory Compliance, Payer Engagement, RCO, Legal Platforms, Operational Dashboard, Operations, Finance, IT, Coding, Credentialing, Business Development): pull the description via CHOOSE against Calculator's selection index, and pull the annual/one-time/MSA columns via COUNTIF-guarded SUM ranges from Calculator (COUNTIF for "TBD" that short-circuits to "TBD" instead of a numeric sum). Sub-total row 29 sums D/E/F. Add the compliance check block: Management Services Agreement Fee pulled from `Inputs!D11` with a "BELOW MINIMUM FLOOR" warning against `Inputs!J12`, Total Services Costs = F29, Margin $ = fee − costs, Margin % with an "MARGIN DOES NOT MEET COMPLIANCE MINIMUM OF 20%" warning (hardcoded 0.2 threshold).
- Build the "INT - P&amp;L" tab (Integrated Case). Populate the Assumptions header (TTM Date, Close Date hardcoded 2/1/2027, Northstar Ownership 0.6, Accounting Treatment "Consolidated", stub-year YEARFRAC calc, "TTM" build start) and Long-Term Debt Assumptions (Principal 590000, Term 7 years, Rate 0, Payment=-PMT()). Build the forecast columns with monthly Norm-Date/Period counters starting January 2027. Populate the volume/revenue/cost stack: Existing Volume, Incremental Volume, working-day variance adjustment, Total Cases, Existing Net Patient Revenue pulled from `Vol &amp; Fin Inputs`, NPR-per-case, Incremental NPR, Total NPR, Other Revenue, Total Revenue. Cost rows for Existing SWB, New SWB, Medical Supplies, Anesthesia, Other Variable Expense, Rent, Other Fixed, Bad Debt, and RBO Fee — each drawn from `Vol &amp; Fin Inputs` for the base column and grown by per-case × total-cases logic in forecast columns. Add Base EBITDA, Less One-Time Integration Expense, Integrated EBITDAM, Integrated EBITDA, Depreciation/Amortization/Interest/Other Expense (from `Vol &amp; Fin Inputs`), Facility Operating Earnings, Non-Controlling Interest, Northstar Mgmt. Fee, Northstar Overhead, and Pre-Tax Mgmt. Fee Profit lines with %-growth and %-margin ratios in each block.
- Build the "INT - Incr Vol Build" tab as five specialty blocks that each carry monthly incremental cases (pulled from `Summary Vol Migration 6.5.26` blended-avg case counts / 12), incremental revenue, SWB, and supplies computed per-case × case count, growing forward on hardcoded growth-rate rows. Roll all five blocks into totals for Incremental Cases, Incremental NPR (with per-case and growth), Incremental SWB, Incremental Supplies, and Incremental Direct Margin (with per-case, % margin, and % growth). These totals become the Incremental Volume feed for the INT - P&amp;L.
- Build the "BASE - P&amp;L" tab as the counterpart to INT - P&amp;L for the Base Case, driving off the same `Vol &amp; Fin Inputs` for existing volume/NPR/expense lines but with the incremental block sourced from `BASE - Incr Vol Build` and no integration/management-fee overlay.
- Build the "BASE - Incr Vol Build" tab with the same five-specialty structure as INT - Incr Vol Build but keyed to Base-Case growth rates so it feeds the BASE - P&amp;L.
- Build the "INT - Val &amp; Returns" tab as the Integrated DCF. Add DCF operating assumptions (Close Date, First Northstar CYE, Northstar Ownership from `INT - P&amp;L!H11`, Tax Rate), a PAYER 004 Dissynergies mini-schedule (fully/self-insured detection), and the annual Cash Flow columns pulling Total Cases/Total Revenue/Integrated Facility EBITDA from INT - P&amp;L. Compute Depreciation, Amortization (Stubbed), EBIT, Income Tax, After-Tax Operating Income, add back D&amp;A less CapEx and working-capital change, apply stub-year and amortization adjustments, split Northstar vs Non-Northstar ownership, then layer Northstar Mgmt. Fee / Overhead / Taxes / RBO Profit / Parentco Dissynergies to reach the Northstar After-Tax Cash Flow. Discount via period YEARFRAC / discount-factor / PV rows and add Terminal Value + Discounted TV. Build the Investment Value &amp; Multiples block (EBITDA multiple → Implied EV → Less Debt from P&amp;L H18 → Implied Equity × Northstar Ownership + Mgmt. Fee Buyout → Northstar Cash Outlay Unlevered/Levered). Add the DCF Sensitivity Tables (Purchase Price and Integrated IRR against Perpetuity Growth Rate × discount steps) and an Unlevered IRR calculator using XIRR of Northstar Unlevered Cash Flows against a discounting date row.
- Build the "BASE - Val &amp; Returns" tab as the Base-Case parallel DCF, with the same cash-flow, terminal-value, valuation-multiple, sensitivity and IRR structure, but driven off BASE - P&amp;L values and its own case-specific cash flow ranges.
- Build the "Amortization" tab. Populate the General Assumptions header pulling Close Date from `INT - P&amp;L`, First CYE = year-end derived from close, Tax Rate from `INT - Val &amp; Returns`, Stub-Year Adjustment from `INT - P&amp;L`, Discount Rate and Perpetuity Growth Rate from `INT - Val &amp; Returns`, TTM Depreciation and TTM Amortization from `Vol &amp; Fin Inputs`, and Post-Close Depreciation/Amortization periods. Add Non-Compete Assumptions block with Intangible Asset Life = 5, Amortization Life = 1/5, Probability of Competition table by age/weight (ages 50/55… weights 0.3/0.2/0.1) and Management Agreement Assumptions block with Intangible Asset Life = 15, Amortization Life = 1/15, Renewal Term = 5, Renewal Adjustment = 0.1. Build the Non-Compete Detail table (Name/Specialty/Age/Investor Status/Ownership/TTM NPR-per-Case/TTM Volume rows with TOTAL row of counts and sums). Build the Integrated Cash Flows section (rows 50–103): year headers keyed off G24 date driver, per-year Revenue / EBITDA (with non-compete) via XLOOKUP into `INT - Val &amp; Returns` row 23/28/31/35/46/48 with fallback = prior year × (1+F13); compute EBIT, Provision for Income Tax (× F8), EBIAT, add-back D&amp;A less CapEx &amp; change-in-WC (WC ratio pulled from `INT - Val &amp; Returns!T8`), Unlevered FCF (with Non-Compete) and PV using YEARFRAC period and 1/(1+F12)^period discount factor. Repeat the block for FCF without Non-Compete (rows 72–90), then Tax Benefit = discount × Amortization Life, Amortization Step-Up Factor = 1/(1−F8×SUM(tax benefit))−1, Value of Non-Compete = Total PV(w/) − Total PV(w/o), Indicated Fair Value = value × (1+step-up), Non-Compete Amortization Term = L6, Amortization Per Year (straight-line with stub adjustment via F9 in the first year), and rolling Amortization Base. Repeat the identical Non-Compete valuation waterfall for the Base Case (rows 105–157) sourcing from `BASE - Val &amp; Returns`. Build the Management Agreement Detail section (rows 159–223): Integrated case pulling Northstar Mgmt. Fee and Northstar Overhead from `INT - Val &amp; Returns` rows 58–59, applying a renewal adjustment (subtract L17 every L16+1 periods across five renewal windows), computing Mgmt Fee Profit after Taxes, PV via period/discount factor, Tax Benefit and Step-Up, Value of Mgmt. Agreement, Indicated Fair Value, Term = L14, and straight-line Amortization Per Year. Repeat the same Mgmt. Agreement waterfall for the Base Case (rows 193–223). Finally roll the two intangibles into the "Total Amortization" summary block at rows 26–34 (New Amortization Integrated = INT non-compete + INT mgmt fee amort, capped at L16+1 renewal window; Base equivalent; plus Existing Amortization pulled from `Deprec. Calc`).
- Build the "Deprec. Calc" tab. Add a monthly grid from S8 forward (=DATE(YEAR(Amortization!$F$6),1,31) then chained EOMONTH), with derived Year (row 5), Post-Close Month index (row 6 = ROUNDUP((period-1)/12) with "Close" flag), and Post-Close/Pre-Close labeling row (row 7 based on comparing month vs Amortization!$F$6). Build the annualized summary columns D:M with: Existing D&amp;A (Pre-Close) = SUMIF of Amortization row 14 monthly cells, Existing Depreciation (Post-Close) = SUMIF of monthly row 15, Depreciation (New Assets) = SUMIF of monthly row 11, Total Depreciation summed for each year, Total Existing Amortization = SUMIF of monthly row 20. Build the monthly per-cell driver rows: row 10 (New Asset CapEx per month = XLOOKUP CapEx-year value / (12 × useful life), zero pre-close), row 11 (New Asset Depreciation with same shape), row 14 (Pre-Close Existing D&amp;A = Amortization!$F$14/12 when pre-close), row 15 (Post-Close Existing Depreciation = MAX((F16 − F16×(month-1)/F17)/12,0)), row 18 (Pre-Close Existing Amortization), row 19 (Post-Close Existing Amortization following the same declining formula against F18), row 20 = SUM of 18–19. Add the "New Assets Depreciation Waterfall" mini-schedule (rows 22–42): pull CapEx per year from `INT - Val &amp; Returns!I46:R46`, useful life = `Amortization!F17`, per-year straight-line spread across future years capped by useful life, and Total Depreciation row = SUM of the per-year cohort spreads.</t>
        </is>
      </c>
      <c r="H10" s="13" t="inlineStr">
        <is>
          <t>4f56a4bf-a1c1-4a5a-a04b-0002394e52c8</t>
        </is>
      </c>
    </row>
    <row r="11" ht="300" customHeight="1">
      <c r="A11" s="13" t="inlineStr">
        <is>
          <t>e8ad8af9</t>
        </is>
      </c>
      <c r="B11" s="12" t="inlineStr">
        <is>
          <t>APPROVE to generating_prompt.</t>
        </is>
      </c>
      <c r="C11" s="13" t="inlineStr">
        <is>
          <t>infinitearbitrage@gmail.com</t>
        </is>
      </c>
      <c r="D11" s="13" t="n">
        <v>15492</v>
      </c>
      <c r="E11" s="13" t="n">
        <v>10819</v>
      </c>
      <c r="F11" s="12" t="inlineStr">
        <is>
          <t>Assumption  Sheet is removed along with its dependents</t>
        </is>
      </c>
      <c r="G11" s="12" t="inlineStr">
        <is>
          <t>- Set up the Assumption Sheet inventory master table by zone (Zone 1, Zone 2, Zone 3), listing every unit type with number of units, average area m², and total BUA calculated as units × area, plus the "as of 30-06-2022" original price per meter (hardcodes 21000.8, 18888.7, 56568, 40627, 0, 34693.7, 22078, 22078, 26621, 22243.1 for Zone 1 residential; 81478.8 flat for Service Apartments; 19831.5, 21720.7, 15702, 21190, 16190.6 and 22243.1 total for Zone 2; 18831.1, 24703, 24329.6, 22369.2, 35641.6 and 22243.1 total for Zone 3) and "% of type from total units" calculated relative to grand totals excluding service apartments (or relative to service total for the service block); include a Zone 3 grand-total average price hardcode 22243.1 and grand-total roll-up combining all four sub-totals.
- Add the new-price and sales-to-date columns to the inventory table capturing the January 2023 price list (44905.9, 36766.8, 118269.2, 118269.2, 161666, 81748.4, 79132.4, 85297.4, 90426.7 for Zone 1; 68431.9, 64708, 54993.3, 68267.6 for Service; 38610, 31313.6, 29513, 38423.2, 44905.9, 30694.1, 46826.7, 52841 for Zone 2; 54083.3, 53203.6, 78413.3, 58886, 50877.7, 62809.7, 44756, 46826.7, 52841, 90108.3, 76446.5, 39483.9 for Zone 3), meters sold, expected total sales (hardcodes including 55268389.52 subtracted in Zone 1 first row; 418377910.1, 95070278.3, 84506146, 0, 130345820.8, 81291567.2, 81291567.2, 247201248 for the remaining Zone 1 rows; 129142500.8, 170985472, 122042240, 200151908.8, 58293524.8 for Zone 2; 17017648, 18379054.5, 27625428.7, 46001606.7, 26516832 for Zone 3), sold units, remaining units as units minus sold, % sold, % unsold as 1 − % sold, and price-escalation % as new price / old price − 1; add a Zone 3 average escalation formula spanning selected rows, a Grand Total row summing all zones, and a Remaining BUA line calculating total BUA minus meters sold.
- Build the Sold Units Assumption timeline: create annual header row (Base Year 2022 through 2035) followed by a monthly date row starting 30-06-2022 using EOMONTH to roll forward across all months through 2035, and add a "% of units sold" driver row keyed by year (hardcodes 0 in 2022, 0.1 in 2023, 0.1 in 2024, 0.1 in 2025, 0.2 in 2026, 0.2 in 2027, 0.1 in 2028, plus a "no. of units sold" line equal to % × total remaining units, split into Residential and Service subtotals derived from the by-unit sales schedule below.
- Populate the by-unit sales pacing table (Zone 1 residential, Service Apartments, Zone 2, Zone 3) where each row starts with remaining units from the inventory master, then contains hardcoded monthly unit sales values across the horizon (values 1.6, 3.2, 4.8, 6.4, 8, 9.6 etc. and per-row month-by-month allocations) with a "Remaining Units" formula at each year boundary equal to prior-year remaining minus that year's SUM, plus per-zone TOTAL rows, a full grand TOTAL summing every column, an annualized total row summing 12 months per year, and a running "Remaining units" line stepping down by each period's total.
- Build the Cost per Unit escalation driver: base year hardcode "Cost to selling price" equal to 10366.65 × 1.2, then chain year-on-year escalations (× 1.35 to 2023, × 1.2 to 2024, × 1.16 to 2025, × 1.14 to 2026, × 1.15 to 2027, × 1.14 to 2028, × 1.13 to 2029), compute Cost Escalation % as current/prior − 1, and derive per-year cost-per-meter as the 4-year rolling average of the cost-to-selling series; replicate this cost-per-meter across all unit-type rows with Service Apartments carrying a 1.10 uplift multiplier.
- Add the annual and monthly Cost Prices per Units date grid (year headers 2022–2035 with month index 1–174) mirroring the sales assumption grid to serve as the calendar for the cost-value schedule.
- Build the Cost Value schedule by unit type as monthly cost = cost-per-meter (base column for pre-escalation, then year-specific rate) × units sold in month × average area m², with year-boundary sum columns collecting the 12 preceding months, per-zone TOTAL rows and a grand Total Cost row that further adds a one-time "Total Cost after last escalation" = Total Cost × 1.2; include a Zone 3 hardcode adjustment of −272000 on the Chalet 2 bedrooms (105/110/115/120) base row and note the per-year cost-to-sales ratio formula for later use.
- Add the sales-escalation driver block: Residential Sales Escalation till 2025 hardcode 0.2 with thereafter hardcode 0.2, and Service Sales Escalation till 2025 hardcode 0.2 with thereafter hardcode 0.2.
- Build the Sold Prices Assumption table on the same date grid: for each unit type input the "prices as of 30-06-2022" base hardcodes (39463.2, 34940.7, 76366.8, 54846.5, 54846.5, 48184.2, 45231.8, 43587.5, 47121.8 for Zone 1; 64797.3 flat for the four Service types; 40866.2, 43110, 42183.5 and formula 5524787.25/112.5 for Zone 2, then Zone 2 Penthouse = B200 × 1.4, Chalet 2 bedroom + Roof = B200 × 1.3, Loft 2 bedroom = B200 × 1.2, Loft 3 bedroom = B200 × 1.25; 31153.8, 35152.3 for Zone 3, Chalet 2 bedrooms + Roof = B208 × 1.15, 20596.6, 25315.7, Chalet 3 bedrooms LO1B = B211 × 1.15, 40662, Loft 2 = B207, Loft 3 = B208, 61921.1, 65784.5, 35376.3 for the remaining Zone 3 rows), then chain forward with (1 + Residential escalation) for residential rows and (1 + Service escalation) for service rows, with 2025-onward columns using the "thereafter" escalation; add TOTAL AVERAGE rows per zone and an overall Average price line averaging across the mixed residential and service unit rows.
- Build the Sold Value schedule mirroring the cost schedule structure: monthly value = period sold-price × units sold × average area m², with year-sum columns, per-zone TOTAL, a grand TOTAL, and summary lines for Total Achieved (with Zone 1 base hardcodes 2168040599.9 and 55268389.5 and Zone 1 2023 hardcode 362076515.3), Total Service Apartments (with Service Apartments 2023 hardcode built as 2665472.128 + 463022.272 + 4167201.6 and Hotel base year hardcode 4167201.6), Total Residential Apartments = Total − Service, Total Target Residential, Total Revenue, Gross Profit = Revenue − Total Cost, GPM, and per-period COGS-to-Sales ratios split by Service, Zone 1, Zone 2, and Zone 3, plus a Total COGS-to-Sales.
- Add the Soft Cost block: Marketing (5%) driven off % of sales with base hardcode 0.10 and per-year overrides 0 for 2027, 0 for 2028, 0.10 for 2029, 0 for 2030 (with 2023 override 0.08 as a fixed multiplier on total residential value); Sales (5%) driven off % of generated sales with base 0 and 2027 = 0, 2028 = 0.10, 2029 = 0.10; G&amp;A (3%) with a 2023 seed = paid G&amp;A base / 4 and then growth of 1.10 per year across every year through 2033; label the "Fixed cost grow by 12% every year" note; sum into a Soft Cost Total.
- Add the Total Cash out (Excl land payments) line summing Total Cost + Marketing + Sales + G&amp;A for every period, and a Payment Plan label capturing the 10-year 10% down + quarterly installments term.
- Build the Revenue Recognition schedule: "Revenue from delivered units for old sales" hardcodes 269979545.6 in 2024, 840674711.9 in 2025, 693399993 in 2026, 357582517.7 in 2027, 6403831.6 in 2028; "for new sales" wires each future-year total revenue into a delivery year (I267 → 2026, V267 → 2027, AI267 → 2028, AV267 → 2029, BI267 → 2030, BV267 → 2031, CI267 → 2032, CV267 → 2033); Total = old + new; Cost Recognition = Total × delivery-year cost ratio with hardcodes 0.22, 0.23, 0.20, 0.23, 0.22, 0.22, 0.22, 0.35, 0.35, 0.42; SG&amp;A = Total × ratio with hardcodes 5%, 5%, 5%, 5%, 5%, 5%, 5%, 4%, 4%, 8.73%; NOP = Total − Cost Recognition − SG&amp;A; Taxes = NOP × 0.225; NI = NOP − Taxes.
- Build the Construction Cost detail schedule: Residential construction with hardcodes Mobilization 17735787.6, Excavation/settlements/gravitational walls 261004363.8, Building Works 1713630787, Service buildings/pools/bridges 582939955.3, Gates and fence 12832846.8, Landscaping/roads/K-STONE/transformers/desalination/fire tanks 762605882 summed to Residential total; Brand Residence construction with Construction &amp; Finished = 888819866.88 + 176000000, Parking (Under Ground) 38936050.6, Parking (Exterior) 4172213.8, Technical Services Fees 8839670.4, Professional &amp; Other Fees 93192813.1, Contingency = 90191702.1214587 + 69577979.8496727 summed to Brand Residence total; Total Cost of Construction = both totals, and Total Cost after Escalation = link to "Total Cost after last escalation" line above.
- Add the Project Total Cost / Paid-to-Date block: "Paid out until 30-06-2022 (including land payment)" broken down by Land 124382457.6, Construction 203344856.4, G&amp;A 136701689.4, Sales 80158881.8, Marketing 175614706.2 with Total = SUM; Paid out from company internal resources 120000000, Paid out from cash inflow = collected cash from receivables, plus Total; add Total Land Cost (remaining amount) = 973897207.883984 − paid Land − next-year land payment, Annual Payment = remaining ÷ 6, and Collected Cash from Receivables 600270052.8 with date stamp "As of 30-06-2022".
- Build the Residential Collections schedule on the extended calendar (2022 through 2038 with monthly EOMONTH date row): Down-payment driver 10% (hardcode 0.10) generating Down Pmt column = residential sales × 10%, followed by New Collections (annualized) per vintage year where each remaining 90% is amortized as (sales − down pmt) × 10% per year and rolled forward 12 columns at a time (2022, 2023, 2024, 2025, 2026, 2027, 2028, 2029 vintages), each with a "Remaining Principal" step-down row; add Old Collections hardcodes 232206626.1 (2023), 261112653.1 (2024), 228470069.3 (2025), 221873120.8 (2026), 200945794 (2027), 119835822.9 (2028), 71905674.7 (2029), 54763189.9 (2030), 27669824.2 (2031), 3671577.1 (2032), with 2022 vintage tied to Model Update C4 and a 2023 subtraction adjustment of 101140141.088; add per-year Total collection lines and Remaining Receivables lines and a checker line total minus total residential.
- Build a parallel Service Apartments Collections schedule with identical structure — 10% down-payment driver (hardcode 0.10 and monthly formulas across the full calendar), vintage new-collection amortization blocks with remaining-principal step-downs, per-year totals, remaining receivables, and combined Total Remaining Receivables = residential remaining + service remaining, plus a checker; annual totals link to Model Update C5 for 2022 and reference DH399/DH372, DT399/DT372 aggregations at horizon boundaries.
- In the Model Update tab, wire in two new formulas that pull from the new Assumption Sheet: cell F10 = Assumption Sheet Total Cost after Escalation minus Model Update B63 (delta between escalated cost and paid construction), and cell B64 = Model Update B63 divided by Assumption Sheet Total Cost of Construction (paid construction as % of total construction cost).</t>
        </is>
      </c>
      <c r="H11" s="13" t="inlineStr">
        <is>
          <t>e8ad8af9-0dc2-4a47-915d-69799551aad9</t>
        </is>
      </c>
    </row>
    <row r="12" ht="300" customHeight="1">
      <c r="A12" s="13" t="inlineStr">
        <is>
          <t>15a0ebf7</t>
        </is>
      </c>
      <c r="B12" s="12" t="inlineStr">
        <is>
          <t>APPROVE to generating_prompt.</t>
        </is>
      </c>
      <c r="C12" s="13" t="inlineStr">
        <is>
          <t>nimisha.mekala2021@gmail.com</t>
        </is>
      </c>
      <c r="D12" s="13" t="n">
        <v>12659</v>
      </c>
      <c r="E12" s="13" t="n">
        <v>6847</v>
      </c>
      <c r="F12" s="12" t="inlineStr">
        <is>
          <t xml:space="preserve">Builds the granular LAR revenue engine that the consolidated P&amp;Ls draw on for topline.
</t>
        </is>
      </c>
      <c r="G12" s="12" t="inlineStr">
        <is>
          <t>- On `LAR - I&amp;A`, populate the "Managed Care Inputs" summary block (rows 22–26) by pulling TTM Volume, TTM NPR/Case, TTM NPR, Total Lift $ Amount, and Blended Final NPR/Case from the corresponding cells on `NPR x Payer` (E36, F36, C22×C23, L36, I36), and pull Close Date and TTM Date from `INT - P&amp;L` H7 and H6.
- On `LAR - I&amp;A`, build the per-payor Managed Care TTM table (rows 24–31, cols E–N) with each payor row (Aetna, BCBS, Cigna, MRDNC, BCBS MCR, MRDNC/Aetna MCR) doing XLOOKUP against `NPR x Payer` D23:D35 to bring in TTM Volume (col E), TTM NPR/Case (col F), TTM NPR = F×G, PF Vol allocated by TTM-volume share of total (I$31 × F/F$31), PF NPR allocated by TTM-NPR share (J$31 × H/H$31), PF NPR/Case = J/I, Proposed NPR/Case via XLOOKUP to `NPR x Payer` I23:I35, and $ Lift NPR/Case allocated using the payor's share of ((L-G)×F) over the total lift, plus a $ Lift NPR column = F×L; add the "Other Payors" plug row that solves for the residual against C22/C23/C24 totals, and total row that ties back to those TTM anchors and pulls PF Vol / PF NPR from `INT - P&amp;L` H30:L30 / H34:L47 via XLOOKUP on the case-count driver in H14.
- On `LAR - I&amp;A`, populate the First Tranche cell (C19) as an XLOOKUP that finds the payor with the maximum $ Lift NPR (INDEX/MATCH over M24:M29) and returns its Tranche 1 reimbursement month from the payor-assumption table B52:N54.
- On `LAR - I&amp;A`, wire the Volume Escalator and NPR/Case Escalator tables (rows 29–34 and rows 39–46) so column C pulls annual `BASE - P&amp;L` values (Volume from N31:S31, NPR/Case from N44:S44), and expand the Base-Case NPR/Case per-payor grid (rows 39–46, cols F–N) to compute Effective NPR/Case = J − ABS((J − H) × L) with L (haircut %) hardcoded to 0 for every payor and every year, blending back to a Total row via SUMPRODUCT of effective NPR/Case × TTM Volume divided by total volume, with the "MC Final NPR" vs "MC Growth %" toggle at C6 switching between the L-column and N-column proposed NPR sources; then propagate C-column payor growth rates and years into the columnar Case Volume Escalator (rows 68–73) and NPR/Case Growth Rate (rows 79–84) tables per payor.
- On `LAR Summary`, add the annual summary rollup at the top (cols C–S, rows 9, 17–24, 27–34, 37–45, 49–58, 60): populate the Blended NPR/Case Growth Rate row as =C45:S45 pass-through; use SUMIFS across the AP:DU monthly grid with $AP$15:$DU$15 = TTM as the TTM aggregator, and XLOOKUP against the date row $BB$17:$DU$17 for each forecast-year total; row 17–22 pulls NPR per LAR payor from monthly rows 32/33/34/35/36/37, row 23 pulls Other Payors NPR from row 29, row 24 totals; rows 27–33 mirror the same lookups for Cases (from rows 42/43/44/45/46/47 and 21), row 34 totals; rows 37–43 compute NPR/Case per payor as row/row (IFERROR wrapper), row 44 is blended NPR/Case = C24/C34, row 45 is blended growth = current/prior−1.
- On `LAR Summary`, add the Base Case comparison block (rows 47–58): NPR (row 49) and Volume (row 51) via the same SUMIFS-then-XLOOKUP pattern against monthly rows 62 and 55; Base NPR/Case (row 53) = C49/C51; Base NPR/Case Growth (row 54) = period-over-period; NPR/Case Delta (row 56) = C44 − C53; Revenue Delta (row 58) = C24 − C49.
- On `LAR Summary`, add the LAR Effect trigger row 60 as IF(period13="TTM","", currentDelta − priorDelta), gated by the row-13 TTM flags.
- On `LAR Summary`, build the monthly "Other Payors (non-LAR)" block in cols AP:DU rows 20–29: pull the label from `LAR - I&amp;A` E45, drive Other Cases via XLOOKUP into `LAR - I&amp;A` E38:E47/F38:F47 for the anchor and roll forward as (SUM(prior 12)/12)×(1+growth), with Volume Growth driven by an IF that at each year-boundary looks up the C-column organic growth from `LAR - I&amp;A` (with the LAR-Effect toggle at C6 zeroing growth when ON), a Stubbed variant for the partial "End TTM Date" period (=(1−MONTH(date)/12)×growth), and Other Cases NPR/Case rolled forward analogously from `LAR - I&amp;A` G38:G47/H38:H47 and its exp NPR/Case from N38:N47, culminating in Other Cases NPR = IF(period≥First-Tranche, Exp NPR/Case × Volume, TTM NPR/Case × Volume).
- On `LAR Summary`, build the six identical per-payor LAR blocks (rows 68–94, 96–122, 124–150, 152–178, 180–206, 208–234), each anchored to `LAR - I&amp;A` C52 / E52 / G52 / I52 / K52 / M52 respectively, in cols AP:DU: Volume with anchor XLOOKUP into `LAR - I&amp;A` E38:E47/F38:F47 and roll-forward, Volume Growth with the same organic-growth toggle-aware IF, five Reimbursement Tranche rows (73–77) and five Reimbursement Tranche % rows (80–84) each computed via IF(XLOOKUP payor Tranche month in `LAR - I&amp;A` B54:B58 vs C54:C58 against the period, tranche %, 0), Current NPR/Case from `LAR - I&amp;A` G38:G47/H38:H47 rolled monthly by SUMPRODUCT/SUM × (1+organic growth), Proposed NPR/Case from `LAR - I&amp;A` M39:M45/N39:N45 rolled by prior × (1+growth), Organic NPR/Case Growth with the same LAR-toggle IF and its stubbed partial-year variant, Base NPR = Volume × Current NPR/Case × (1 − sum of tranche %), LAR NPR = SUMPRODUCT(tranches, tranche %) × Volume × Proposed NPR/Case, and Proposed NPR = Base + LAR.
- On `LAR Summary`, connect the payor-block subtotals to the AO-column "NPR x LAR Payor" and "Cases x LAR Payor" pass-through blocks (rows 32–37, 42–47) so each row equals the corresponding block's Proposed NPR row (94, 122, 150, 178, 206, 234) or Volume row (69, 97, 125, 153, 181, 209); add the Total NPR row (39) = SUM(payor NPRs) + Other NPR (row 29); Total Cases (row 49) = SUM(payor volumes) + Other Cases (row 21); Blended NPR/Case (row 51) and its growth (row 52); plus the Base Case NPR sub-block (rows 55–66): Base Case Volume from `LAR - I&amp;A` F46/12 rolled forward, Total Cases NPR/Case from `LAR - I&amp;A` H46 rolled forward, Base Case NPR = Volume × NPR/Case, Revenue Delta = Total NPR − Base NPR, Volume Check = Base Volume − Total Cases.
- On `INT - Val &amp; Returns`, add the new "Integrated IRR" sensitivity table (rows 125–132) modeled on the existing NRT DCF sensitivity table two rows above: header C127 = H146 (the new Unlevered IRR cell), row 127 axis populated across cols C:H as =+col-1 − $X$118, hard-anchor middle 0.03, =+col+$X$118 either side of center; row 128 col C = =+C129 − $X$120, rows 129–132 stepping the row axis around center 0 (net-new hardcode 0), and cols D:H rows 128–132 filled with 0 placeholders so Excel can treat the block as a two-variable data-table area.
- On `INT - Val &amp; Returns`, activate the previously blank IRR output cells H146 and H157: H146 = ROUND(XIRR(H145:OS145, H143:OS143), 4) as the Unlevered IRR, H157 = ROUND(XIRR(H156:OS156, H154:OS154), 4) as the Levered IRR, and I146 / I157 = H146/H157 − T6 for the delta-to-hurdle columns; these feed the new Integrated IRR sensitivity table above and propagate refreshed IRR / DCF values downstream through the linked `BASE - Val &amp; Returns` sensitivity blocks.</t>
        </is>
      </c>
      <c r="H12" s="13" t="inlineStr">
        <is>
          <t>15a0ebf7-8354-4e97-bdfd-764a03bef9ee</t>
        </is>
      </c>
    </row>
    <row r="13" ht="300" customHeight="1">
      <c r="A13" s="13" t="inlineStr">
        <is>
          <t>f925d988</t>
        </is>
      </c>
      <c r="B13" s="12" t="inlineStr">
        <is>
          <t>APPROVE to generating_prompt.</t>
        </is>
      </c>
      <c r="C13" s="13" t="inlineStr">
        <is>
          <t>apathy@uchicago.edu</t>
        </is>
      </c>
      <c r="D13" s="13" t="n">
        <v>12113</v>
      </c>
      <c r="E13" s="13" t="n">
        <v>8221</v>
      </c>
      <c r="F13" s="12" t="inlineStr">
        <is>
          <t>Cleared LAR.</t>
        </is>
      </c>
      <c r="G13" s="12" t="inlineStr">
        <is>
          <t>- Lay down the standing left-side row-label column for each of the ten per-payor blocks (rows 3–27, 30–54, 57–81, 84–108, 111–135, 138–162, 165–189, 192–216, 219–243, 246–270), with a repeating label stack in columns B/C/E containing: "Current NPR / Case" and "Proposed NPR / Case" headers, "Haircut", "Payor" / "Payor N" ID, "Location Appropriate Reimbursement Month" and "LAR %" tranche headers, then a right-side driver column labeled "Year Count", "Year", "Month", "Volume Growth", "Tranche 1 Flag" through "Tranche 5 Flag", "Base NPR Contribution", "Date", "Volume", "Current NPR / Case", "Proposed NPR / Case", "Base NPR", "Location Appropriate Reimbursement", "Effective NPR", "Effective NPR / Case", "Effective Incre. LAR / Case", "Effective Incre. LAR", plus a "Volume Escalator" label and a "Linked from P&amp;L Organic Vol Growth^^" note.
- In the "Location Appropriate Reimbursement Month" tranche input block (column B, rows 12–16 for Payor 1 and analogous rows for each payor), seed the month-count hardcodes 13, 100, 100, 100, 100 for the first five payor blocks (Payors 6–10 already carry only 100, 100, 100, 100, 100). In the "LAR %" column (column C, same rows), seed 1, 0, 0, 0, 0 for every payor. In the year-count lookup ladder just below (column B, rows 20–24 and analogous), seed 1, 2, 3, 4, 5 for every payor. Add a check total in column C summing the tranche % column (row 17 of each block).
- For each payor block, place the top-of-tab MCR TTM Volume header row (row 4, "MCR TTM Volume" over the seeded monthly volume seed row and "Close Date" over the projection area). Below that, keep the "Current NPR / Case" / "Proposed NPR / Case" hardcode pair (row 6 = zeros in the seed) and build the haircut-adjusted proposed NPR as current × (1 − haircut) in column C of the payor row.
- Populate the TTM seed grid in columns G:R for each payor: dates 1/1/2021 through 12/1/2021 across row 17 (repeat for all ten payors — only Payor 1 already had these) and copy the "MCR TTM Volume" seed forward across the row via each column equal to the prior column starting from a hardcoded first-month value (100 for Payor 1, 0 for Payors 2–10 as in the input). Populate the same G:R strip for "Current NPR / Case" and "Proposed NPR / Case" (rows 19 and 20 of each block) by referencing the block's B6 and C9 cells.
- Build the monthly projection grid in columns T:CA for every payor block. Row 8 is the month counter (T8 seeded at 1, each subsequent column = prior + 1, with column R immediately to the left holding 0 as an anchor). From that, drive Year Count = ROUNDUP(month/12,0), Year = YEAR of the date row, Date = EDATE(close date, month−1) where the close date is pulled from `INT - P&amp;L`!H7 in T5 of each block. Volume Growth (row 9) uses INDEX/MATCH against the payor's year-count ladder (B20:C24 for Payor 1, analogous ranges for others).
- Add the five Tranche Flag rows (rows 10–14) as IF(month ≥ tranche-month input, 1, 0) referencing the block's B12:B16 tranche months. Add the Base NPR Contribution row (row 15) as IF(sum of tranche flags = 0, 1, 1 − SUMPRODUCT(tranche %, tranche flags)).
- Build the monthly Volume row (row 18): for the first twelve projection columns (T:AE), pull from the TTM seed via array formula INDEX(seed,MATCH(MONTH(date), MONTH(seed dates),0)) × (1 + volume growth); from column AF onward, escalate against the same column of the prior year × (1 + volume growth).
- Build the monthly NPR rows: Current NPR / Case (row 19) and Proposed NPR / Case (row 20) each equal to the block's B6 and C9. Base NPR (row 22) = current NPR × volume × base NPR contribution. Location Appropriate Reimbursement (row 23) = SUMPRODUCT(tranche %, tranche flags) × volume × proposed NPR. Effective NPR (row 24) = base NPR + LAR. Effective NPR / Case (row 25) = effective NPR / volume with IFERROR guard. Effective Incremental LAR / Case (row 26) = effective NPR / case − current NPR. Effective Incremental LAR (row 27) = per-case × volume.
- At the top of each payor block (column A "x" spacer and B row 3/30/57/…), add the payor-name label formula IF(payor cell = 0, "", payor cell) so the payor name appears only when populated.
- Build the "Summary" per-payor annual roll-up section in columns CC:CI (rows 17–27 for Payor 1, then in 11-row strides for each of the ten payors). Header row 5 = "Total" and years 1–5 (CE5 seeded at 1, then +1 across). For each payor, drive: payor name = block name; Volume = SUMIF(year-count row, year header, monthly volume row); Total NPR = SUMIF against monthly effective NPR row; NPR / Case = NPR / Volume; Incremental LAR = SUMIF against monthly incremental LAR row; Incremental LAR / Case = incremental / volume; Incremental LAR Realized = per-case / (proposed − current NPR); Max LAR / (Reduction) = MAX or MIN of incremental LAR row depending on sign of the sum.
- Build the parallel "Total"-anchored summary block in columns CK:CS. Header row 5 pulls fiscal years from the `INT - P&amp;L` date row (CL5 = YEAR('INT - P&amp;L'!H25), CM5 = 'INT - P&amp;L'!J24, CN5 = YEAR('INT - P&amp;L'!Z25), then +1 across through CS5). Row 6 "Existing Revenue" uses an IF against the LAR flag to either pull `INT - P&amp;L` revenue directly (H39, J39, Z39, AM39, AN39, AO39, AP39, AQ39 by column) or rebuild it as volume × PF NPR / case + cumulative applied LAR. Row 7 "Volume - Total" links to `INT - P&amp;L` volume row 28 (H, J, Z, AM–AQ). Row 8 "NPR / Case" = existing revenue / volume.
- Add the tab-level driver stack in columns CU:CV: "Location Appropriate Reimbursement Start Yr" hardcoded to 2024 with note "&lt;&lt; when BL13:BQ13 begins 1"; "Anchor Column" = MATCH(start year, header row, 0); "Pre-RL Volume" and "Pre-RL NPR" pull from the summary via INDEX one column left of the anchor (array formulas); a "check" row = SUM of realized LAR minus Max LAR.
- Layer the LAR mechanics into the CK-block: "Volume - Location Appropriate Reimbursement" and "Total Incremental Location Appropriate Reimbursement" (rows 9 and 10) sum the corresponding per-payor summary rows across all ten payors (block rows 18/29/40/51/62/73/84/95/106/117 for volume; 26/37/48/59/70/81/92/103/114/125 for effective incremental LAR). Row 11 "Organic Growth Rate" is a hardcoded 0 across all years. Row 12 "Location Appropriate Reimbursement Flag" = IF(incremental &gt; 0, 1, 0). Row 13 "Organic Growth PF NPR / Case" = IF(flag−1=0, Pre-RL NPR × (1+growth), 0) × IF(prior flag &gt; 0, (1+growth), 1). Row 14 "Adj. NPR / Case Growth Rate" = current-year NPR / prior-year NPR − 1, guarded to 0% when no LAR. Row 15 "Total LAR Realized" = SUM of realized LAR row.
- Add the CD-column "TTM" mirror of the summary logic (rows 6, 9, 10 in the CD column) so TTM incremental LAR = same year-sum construction against year-count row 6 of the payor blocks (CD9 sums payor Volume rows via SUMIF; CD10 sums payor Incremental LAR rows).
- Below each payor's monthly-derived summary rows in CK:CS, add the "Max Location Appropriate Reimbursement / (Reduction)" cap and its running "Remaining LAR / (Reduction)" and "Effective Incremental Location Appropriate Reimbursement" schedule: max/min against incremental row depending on sign; remaining = MAX/MIN(cap − running sum, 0); effective = MIN/MAX(prior remaining, current incremental) based on cap sign. Repeat this three-row LAR-cap sub-block for every payor.
- Build the "Integrated" vs. "Base" comparison table in columns DA:DE (rows 5–16). Header row 5 mirrors the CN:CQ years. Under "Integrated" pull Revenue = 'INT - P&amp;L'!Z47/AM47/AN47/AO47, EBITDA = 'INT - P&amp;L'!Z107/AM107/AN107/AO107, IOI = 'INT - P&amp;L'!Z171/AM171/AN171/AO171. Under "Base" pull Revenue = 'BASE - P&amp;L'!L45/M45/N45/O45, EBITDA = 'BASE - P&amp;L'!L110/M110/N110/O110, IOI = 'BASE - P&amp;L'!L171/M171/N171/O171. "Applied Location Appropriate Reimbursement" row = Integrated Revenue − Base Revenue.
- Add the "View Summary" navigation label in B1, the tab title "Location Appropriate Reimbursement Schedule" in B2, and the section marker "Summary" in CC3, along with the scattered "x" spacers in column A (rows 3, 30, 57, 84, 111, 138, 165, 192, 219, 246), row 1 (T1, CB1, CT1, DF1), and the internal separators (CT16, CT27, CT38, CT49, CT60, CT71, CT82, CT93, CT104, CT115, DF18) that fence off each payor's blocks.</t>
        </is>
      </c>
      <c r="H13" s="13" t="inlineStr">
        <is>
          <t>f925d988-87c3-4cb0-a396-b583b2949382</t>
        </is>
      </c>
    </row>
    <row r="14" ht="300" customHeight="1">
      <c r="A14" s="13" t="inlineStr">
        <is>
          <t>21d534e3</t>
        </is>
      </c>
      <c r="B14" s="12" t="inlineStr">
        <is>
          <t>APPROVE to generating_prompt.</t>
        </is>
      </c>
      <c r="C14" s="13" t="inlineStr">
        <is>
          <t>apathy@uchicago.edu</t>
        </is>
      </c>
      <c r="D14" s="13" t="n">
        <v>10061</v>
      </c>
      <c r="E14" s="13" t="n">
        <v>11075</v>
      </c>
      <c r="F14" s="12" t="inlineStr">
        <is>
          <t>Cleared Pro Forma, SWB Breakdown, Fee &amp; Debt Schedules, Cash Collection &amp; Distribution, Inputs, Calculator, Summary Output, I&amp;A.</t>
        </is>
      </c>
      <c r="G14" s="12" t="inlineStr">
        <is>
          <t>- On the **I&amp;A** tab, add the SWB build in rows 270–296: a position schedule (Administrator 86.6, DON 69.4, BO Manager 42.2, BO Scheduler 26.4, BO Receptionist 26.4, BO Billing/Collections 27.8, GI Tech 27.5, Radiology Tech driven off specialty triggers, RN – OR/PR 54, RN – Periop 54, Medical Assistant 21, Materials Mgmt/AP 35 with pre-1st-patient and Yr1–Yr5 FTE headcounts), Total FTE sum, Total Salaries Expense (SUMPRODUCT of rate × FTE × worked hours, prorated for Year 1 by months-pre-1st-patient/12), Total Benefits Expense = Salaries × benefits rate, Total SWB = Salaries + Benefits; Pro Forma Assumptions block with Worked Hours/Day of 8, Worked Days/Year pulled from Pro Forma annual working-day totals (Year 1 = average of Years 2–5), FTE Hours/Year = hours × days, and Benefits rate of 30%.
- On the **I&amp;A** tab, add the OR/PR capacity–utilization block in rows 214–222: rooms × hours/day × work-days/year to compute annual capacity, and case-volume-to-capacity utilization; then wire the Suggested-rooms cells at rows 72–73 to a ROUNDUP of required volume ÷ (capacity × 80% target utilization).
- On the **I&amp;A** tab, replace the working-capital "Calculated Requirement" cell with the running MAX of the Cash Collection &amp; Distribution WCLOC beginning balance line; add the Cedarbrook Operating Model Overhead block at rows 410–419 (Total Overhead = Operating Overhead + Non-Standard; Operating Overhead switches on the "Bundle" toggle to pull Summary Output total services cost, else lookup a fixed overhead table with Multi-Specialty 200000, SXH 300000, Single (GST or Pain) 150000, Multi-Site 400000).
- Build the **Pro Forma** monthly timeline: header row of period numbers 1–5 mapping months to year buckets (S–AD=1, AE–AP=2, AQ–BB=3, BC–BN=4, BO–BZ=5), a Pre-Ops column plus 60 monthly period numbers 1–60 across S:BZ, monthly date row daisy-chained from I&amp;A "First Patient Date" (S3) via DATE(YEAR+1 month), and a year-summary block CB:CF for years 1–5 with SUMIF(period-header, year, monthly row) roll-ups.
- Build the **Pro Forma** Volume Build section (rows 6–25): Base Volume = prior period's Unadjusted Total Cases (Year-1 seed from I&amp;A base case count) grown by Standard Growth Assumptions (natural growth pulled from I&amp;A KPI drivers); Incremental Cases from ramping physician build; Unadjusted Total Cases = Base + Incremental; parallel NPR/Case and Supply/Case rows with existing/incremental/blended tiers feeding revenue and supply totals.
- Build the **Pro Forma** Volume Adjustments block (rows 27–37) as three toggled overlays (Seasonality Variance, Monthly Working Days, Facility Volume Ramp Up), each with a numeric switch (1, 2, 3), an "ON" text toggle in column D that gates the monthly application via IF($D$xx="ON", raw, 0), and monthly variance rows; also add the Working Days Database at rows 145–159 (Month labels January–December + Total) that the Monthly Working Days overlay reads from.
- Build the **Pro Forma** Income Statement (rows 39–75): Total Volume with NPR/Case; Net Patient Revenue; Other Revenue (per-case × cases); Total Revenue; Operating Expenses stack (SWB from SWB Breakdown roll-up, Supplies from per-case × cases, Rent, Insurance, Other Variable Expenses, Bad Debt, Annual OM Expense from I&amp;A overhead, CBO Fee); EBITDAM and EBITDAM Margin; Management Fees section (Cedarbrook Development Fee, Other Development Fee, Cedarbrook Mgmt Fee driven off Fee &amp; Debt Schedules fee tier, Other Mgmt Fee); EBITDA and EBITDA Margin; Non-Operating stack (Depreciation New Assets, Depreciation Incremental CapEx, Amortization TI Allowance, Net Interest Expense) each drawn from Fee &amp; Debt Schedules; Pre-Tax Income; NOPAT.
- Build the **Pro Forma** E-NCI section (rows 77–100) and IOI section (rows 102–118): ownership percentages (Cedarbrook, MD, Other) applied to Pre-Tax; Consolidated E-NCI [C] = EBITDAM – Other Mgmt Fee – NCI with Buyer Multiple (Consolidated) driving Adjusted Pre-Tax Income; Equity E-NCI [E] = Cedarbrook Equity Income + Cedarbrook Mgmt Fee Income with Buyer Multiple (Non-Consolidated); labels dynamically flex on I&amp;A cell E9 = "Consolidated"; IOI [C] = EBITDA + Cedarbrook Mgmt Fee – D&amp;A; IOI [E] = Pre-Tax – NCI + Cedarbrook Mgmt Fee.
- Build the **Pro Forma** KPI block (rows 120–127: Net Patient Revenue/Case, Other Revenue/Case, SWB/Case, Supplies/Case, Other Variable/Case, Bad Debt/Total Net Revenue, CBO Fee/Case) and the Growth driver block (rows 129–141) that stages all per-case and expense-growth rates by year from I&amp;A source cells, with Year-1 seeding and cascading forward.
- Build the **SWB Breakdown** tab as a monthly detail of every I&amp;A position for months 1–12 plus each Year-2–Year-5 column: header row 1 as descending month counters back from Pro Forma month indices; each position row = IF(month &gt; months-pre-1st-patient, 0, rate × FTE-hours × pre-1st-patient FTE × (1 + benefits load)/12) for Pre-Ops months, then Year-1 monthly = same formula with Year-1 FTE and rate escalators, then Years 2–5 as annualized rate × Yr-N FTE × hours × (1 + escalator); Column-O and Column-AB sum to annual/total.
- Build the **Fee &amp; Debt Schedules** tab: Management Fees table pulling Standard Fee/Fee Cap/Flat Fee tiers from I&amp;A rows 406–408; Incremental CapEx Depreciation Schedule with period from I&amp;A; Deferred Rent Amortization with period = I&amp;A rent months / 12; New Asset Depreciation with Surgery Center Assets 10-year period and Equipment Assets 7-year period; three debt schedules (Construction Loan, Equipment Loan, Working Capital LOC), each with Principal, Repayment Terms, Amortization Period, Interest Rate, Interest-Only Period pulled from I&amp;A, and a Payment cell computed as `-PMT(rate/12, amort, principal, 0)`; carry monthly interest and principal amortization out across the 60-month timeline.
- Build the **Cash Collection &amp; Distribution** tab: Cash Collections section (Surgical Revenue = Pro Forma R46 monthly; Less Bad Debt = Pro Forma R54; Net Patient Revenue = difference); Collections Timing block with six-month lag pattern (weights 10%, 10%, 40%, 40% distributed across months 1–6, adjusted for early-month ramp) and Total Monthly Collections = SUMPRODUCT of pattern × NPR history; Distributable Cash Flows three-section cash flow statement (Operating: Collections – Interest – OpEx ex-interest – TI Allowance amort; Investing: Purchase of Equipment; Financing: Working Capital Equity Contribution seed, Construction Loan Principal, Equipment Loan Principal); WCLOC roll (Beginning Balance = prior + draws – repayments, Payment-Type reference IF period ≤ interest-only period THEN "Interest-Only" ELSE "Principal &amp; Interest", Cash from Working Capital Draw = IF net-cash-negative fund shortfall to zero, Principal Repayment = MAX(-Beg, -MIN(scheduled)) when cash positive); Net Cash Distributions ending with LESS `# Days Operating Expenses` reserve pulled from I&amp;A and Net Distributable Cash Flow.
- Build the **Calculator** tab as the ASC service-selection engine: an OM Framework selector at I7 (1 = Standard, 2 = Standard + BD, 3 = Bundle) plus per-lane option selectors (PAS/Clearinghouse I10; HR I13; Accounting I22; Treasury I25; Tax I28; Risk Management I30; Supply Chain I32; Clinical I35; Marketing I45; Regulatory Compliance I52; Payer Engagement I55; RCO CBO/Local/Non-Sponsor at I58 with yes/no add-ons D60/D61/D64/D67); each lane's F/G/H columns (Annual, One-Time, Included in MSA) is a nested IF driven off framework and option toggles, embedding the full price table — PAS Option A 32400; HR Cedarbrook 17448 / bundle 27708, Time Keeping 6/teammate/month × 12, Timeclock Web App one-time 2000, Timeclocks one-time 4915, Payroll 6.5/teammate × 26 pay periods; Accounting Option A 23900, Option B 32700; Treasury Option A 2800, Option X one-time 300 + annual 18000; Tax Option A annual 13460 + one-time 22000; Risk = Inputs!D14; Clinical Support 10000, Clinical Policies 500/1000, Risk Reporting 800, Compliance 726, NPS 693, OAS CAHPS 3135, AORN 157; Marketing Templatized Website 2532 + 8500 one-time, Reputation Platform 509 + 350 one-time, Monthly Optimization 1800, Website Improvements 2010, Collaterals 500; Regulatory 7000 + 500; Payer Engagement 31500; CBO Local Vendor 20000; Insurance Verification Training 3500; Legacy AR Fin Pack 4500; Payer Contracts Database 1500 + 2000 one-time; Vendor Database 8500; Charge Capture 750; Clearinghouse Conversion 1500; EMR Interface 5000. Then an Included-in-Framework block (Legal Platforms 1800, Insights Platform 3300, Operations pulled from Inputs!D12, Finance pulled from Inputs!D13, IT pulled from Inputs!D31/H31 with fallback 1350, an implicit BD row = IF I7=1 then 0 else 43000, Credentialing = IF I7≤2 then 0 else Inputs!D10×31×12), and a Sold-Separately block (Coding = Inputs!D24 if selected else 5000, Credentialing driven by teammate/practitioner counts, Business Development 43000). Totals SUM each column.
- Build the **Inputs** tab as the facility-fact intake feeding Calculator: Facility Info (Name, Address, Group pulled from I&amp;A E8/E15/D25); Number of Teammates 15; Number of Practitioners 5; Management Services Agreement Fee = AVERAGE of Pro Forma Cedarbrook Mgmt Fee Years 2–3, compared against the Selected Floor lookup (200000 if framework=1, 250000 if =2, 350000 else); Operations Costs 30636; Finance Costs 20215; Risk Management 0; Estimated Annual Case Volume = AVERAGE of Pro Forma cases Years 2–3; Case Mix % inputs (Cataract, Spine, GI Assisted, Other, IP/Obs; sum-check must = 100%) with rate table Cataract 6.1, Spine 8.9, GI Assisted 2.3, Other 7.5, IP/Obs 19.1 (K17:K21); Estimated Coding Annual Cost = SUMPRODUCT of volume × mix × rate; RCO Budgeted Coding = coding cost if mix sums to 100%; IT Expense section (# Teammates = D9, # PCs = D27, # Servers 2, New Phone System toggle 1) driving an IT Services Detail table that pulls unit rates from IT Amounts (Facility flat, Teammate support, Computer support, Mailbox split 60%/40% via M30/O30, VPN 10% via M31, Local Server, Network Equipment × 8) to compute Annual IT Cost D31 = K34+K40 and One-Time Cost H31 = SUM of IT Amounts one-time categories.
- Build the **Summary Output** tab as the client-facing pricing summary: header pulls Facility Name and Address from Inputs; one row per Calculator lane (OM Framework, PAS, HR, Accounting, Treasury, Tax, Risk Management, Supply Chain, Clinical, Marketing, Regulatory, Payer Engagement, RCO, Legal Platforms, Insights Platform, Operations, Finance, IT, Coding, Credentialing, Business Development) with each row's Description column built from CONCATENATE(CHOOSE(selector, option-label list),": ",CHOOSE(selector, option-description list)) and D/E/F columns aggregating that lane's Annual, One-Time, and Included-in-MSA cost with COUNTIF("TBD") propagating "TBD" upward; a Totals row (D29:F29 = SUM of the lane rows); and a bottom compliance block: Management Services Agreement Fee = Inputs!D11 with a floor warning; Total Services Costs = F29; Margin $ = MSA Fee – Services Costs; Margin % = Margin $ / MSA Fee with a warning if below the 20% compliance minimum.</t>
        </is>
      </c>
      <c r="H14" s="13" t="inlineStr">
        <is>
          <t>21d534e3-8c09-46e5-8a5d-b5c55c8522a2</t>
        </is>
      </c>
    </row>
    <row r="15" ht="300" customHeight="1">
      <c r="A15" s="13" t="inlineStr">
        <is>
          <t>552a9578</t>
        </is>
      </c>
      <c r="B15" s="12" t="inlineStr">
        <is>
          <t>APPROVE to generating_prompt.</t>
        </is>
      </c>
      <c r="C15" s="13" t="inlineStr">
        <is>
          <t>wangche2532@gmail.com</t>
        </is>
      </c>
      <c r="D15" s="13" t="n">
        <v>8568</v>
      </c>
      <c r="E15" s="13" t="n">
        <v>11303</v>
      </c>
      <c r="F15" s="12" t="inlineStr">
        <is>
          <t>Delete tabs: Cash Collection &amp; WCLOC, D&amp;A &amp; Debt Schedules
Clear content: Pro Forma!E51:CZ51, Pro Forma!E76:CZ86, Pro Forma!CA97:CZ97, Pro Forma!B113:CZ200, Inputs &amp; Assumptions!E85</t>
        </is>
      </c>
      <c r="G15" s="12" t="inlineStr">
        <is>
          <t>- On the Inputs &amp; Assumptions tab, add a single new WCLOC input row labeled "Maximum Draw:" whose value pulls from the WCLOC max-draw output on the Cash Collection &amp; WCLOC tab.
- Create the new "D&amp;A &amp; Debt Schedules" tab, with its header block linked from the Pro Forma tab (scenario, Pre/Post-Close flag, period date and year headers), a 72-column monthly time grid numbered 1–72, and a five-year annual roll-up block (years 1–5) plus a Checks column.
- On the D&amp;A &amp; Debt Schedules tab, build the Cap Ex &amp; Depreciation section: inputs referencing TTM D&amp;A and Post-Close D&amp;A from Inputs &amp; Assumptions plus the depreciation period; a monthly CapEx driver row that HLOOKUPs the CapEx schedule on Inputs &amp; Assumptions (rows 64–67) and defaults to the year-5 rate divided by 12; a monthly Existing Depreciation (Pre-Close) row that runs the TTM D&amp;A base straight-line and only fires when the period flag equals "Pre-Close"; a monthly Existing Depreciation (Post-Close) row that straight-lines the Post-Close D&amp;A base over the depreciation period and only fires post-close; a monthly Depreciation (New Assets) row that layers running-total CapEx divided by (12 × depreciation period); a LESS: Fully Depreciated Assets row that reverses new-asset depreciation once its age exceeds the depreciation period in months (SUMIF against the month index against `MAX(period − D×12, 0)`); and a Total D&amp;A row summing all four monthly components. Each row rolls up into the annual columns via SUMIF on the year header.
- On the D&amp;A &amp; Debt Schedules tab, build the Existing Facility Debt schedule: inputs pulled from Inputs &amp; Assumptions (Principal, Repayment Terms, Months, Interest Rate) with a PMT-based Payment; then a monthly waterfall consisting of Starting Balance (equals principal at t=1, otherwise prior ending balance), a Total Payment capped at Starting Balance vs. the PMT, an Interest Payment computed as annual rate/12 × starting balance (zeroed once the balance is fully paid), a Principal Payment equal to Total less Interest, and an Ending Balance equal to Starting less Principal. Annual roll-up columns use SUMIF for cash lines and INDEX/MATCH for balance snapshots.
- On the D&amp;A &amp; Debt Schedules tab, build the Capital Lease schedule: inputs from Inputs &amp; Assumptions (In-Use flag `&gt;0`, Principal, Term Remaining, Asset Life, Interest Rate, Annual Escalator, Payment); a monthly schedule with Starting Balance rolling from Principal, a Total Payment equal to `MIN(Starting Balance, Payment × (1+Escalator)^(year−1))` where year comes from `ROUNDUP(COUNTA month index /12,0)`, an Interest Payment of rate/12 × Starting Balance (zeroed at payoff, with month 1 hard-coded to 0), a Principal Payment equal to Total less Interest, an Ending Balance, and a Straight-line Depreciation row equal to Principal / Term Remaining. Annual roll-ups mirror the debt block.
- On the Pro Forma tab, insert a "Cash Collections" row directly beneath Total Revenue that pulls monthly collections from the Cash Collection &amp; WCLOC monthly Total Monthly Collections row via INDEX/MATCH on the period key, falling back to Total Revenue in month 1, and adds Other Revenue; roll it up to the annual/TTM/quarter columns using the same SUMIF/SUMIFS pattern used by the other IS lines.
- On the Pro Forma tab, extend the P&amp;L below EBITDA with new rows: Depreciation &amp; Amortization (linking to Total D&amp;A on the new schedule tab), Net Interest Expense (Facility Debt interest + Capital Lease interest), WCLOC Interest Expense (pulled via INDEX/MATCH from the WCLOC schedule, with month 1 = 0), Other Expense (Income) (holds prior-period value from Adjusted Financials and flows forward), Net Income (EBITDA less the four items above), and NOPAT (`Net Income × Acquirer % Equity × (1−tax) + (Acquirer Mgmt Fee + Acquirer Overhead) × (1−tax)`, referencing the tax rate on Inputs &amp; Assumptions and the Acquirer Overhead line below).
- On the Pro Forma tab, add three opex aggregate rows below NOPAT: Operating Expenses (sum of the below-Revenue cost stack rows 53–61 plus Acquirer + Other Mgmt Fees on rows 72–73), Opex + Interest (Operating Expenses plus Net Interest Expense plus WCLOC Interest Expense), and Opex + Interest + DPP (Operating Expenses less the three debt principal-payment rows in the Facility Levered cash-flow section below).
- On the Pro Forma tab, hard-code the historical/TTM Acquirer % Equity in the CC97 annual-roll-up column to 0 so post-close ownership scenarios don't backfill history.
- On the Pro Forma tab, build the "Cash Flows" section starting with a "Levered Facility Distributable Cash Flows" block: pull Facility Levered Cash from the WCLOC tab's Net Distributable Cash Flow row via INDEX/MATCH (fallback to the sheet-internal Facility Levered Cash calc), then add-back rows for Facility Debt Principal, Facility Debt Interest (both from the D&amp;A &amp; Debt Schedules tab), WCLOC Principal, and WCLOC Interest (both from the WCLOC tab, sign-flipped), and sum to a UL Facility Distributable Cash Flows total.
- On the Pro Forma tab, build the Unlevered cash-flow block: EBITDA, ADD WCLOC Draw (from WCLOC tab), ADD Developer WC Contribution (from WCLOC tab), LESS Rent Expense if Cap Lease (Capital Lease Total Payment on the D&amp;A tab), LESS CapEx (HLOOKUP against the CapEx tiers on Inputs &amp; Assumptions rows 64–67, defaulting to the year-5 rate, divided by 12), and LESS Δ in Working Capital (hard-coded to 0 monthly). Then present three parallel presentations: "UL Facility Cash (Old Calc)" = sum of the block; "UL Facility Cash (New Calc)" = the UL total from the Levered Distributable block above; and "UL Facility Cash (Flow Through)" = CHOOSE driven by a selector cell at B157 picking between old and new; place the selector defaults (1 old, 2 new) in cells B129/B131/B133 and B153/B155/B157 in the label column.
- On the Pro Forma tab, follow the UL block with the UL AT Acquirer Cash waterfall: Acquirer Distributions (UL Flow-Through × Acquirer % Equity), LESS Acquirer Taxes on Facility Earnings (`MIN(−(NI + Net Interest)×Acquirer%×tax, 0)`), ADD Acquirer Mgmt Fee, LESS Acquirer Overhead (monthly = `−IF(Pre-Close, 0, Acquirer Overhead assumption on Inputs &amp; Assumptions G49)/12`), LESS Acquirer Taxes on Mgmt Fee Profit (`MIN(−(Fee+Overhead)×tax, 0)`), summed to UL AT Acquirer Cash.
- On the Pro Forma tab, build the parallel "Facility Levered" cash-flow block: EBITDA, ADD WCLOC Draw, ADD Developer WC Contribution, LESS three debt-principal rows (Facility Debt, Cap Lease, WCLOC), LESS three interest rows (Facility Debt, Cap Lease, WCLOC), LESS Δ in Working Capital (= UL Δ in WC). Present the same three-way choice (Old Calc = block sum; New Calc = the WCLOC Net Distributable pull; Flow-Through = CHOOSE via B157), then run the same Acquirer Distributions/Taxes/Mgmt Fee/Overhead/Taxes-on-Fee stack down to Facility Levered AT Acquirer Cash.
- On the Pro Forma tab, build the "IOI" section: a header row that dynamically shows either the Consolidated or Equity variant based on the Consolidated/Equity switch on Inputs &amp; Assumptions E10, then IOI Pre-Overhead, LESS Overhead (= Acquirer Overhead), and IOI Post-Overhead. Underneath, build the Consolidated IOI computation (EBITDA gated by Acquirer%≠0, ADD Acquirer Mgmt Fee, LESS D&amp;A, summing to IOI [C] with pre-close periods forced to 0) and the Equity IOI computation (Net Income gated by Acquirer%, LESS Non-Controlling Income = `−NI × (1−Acquirer%)`, ADD Acquirer Mgmt Fee, summing to IOI [E]).
- On the Pro Forma tab, build the "E-NCI" section directly mirroring the IOI section: dynamic label/switch on Inputs &amp; Assumptions E10, E-NCI Pre-Overhead + LESS Overhead + E-NCI Post-Overhead. Underneath, Consolidated E-NCI (EBITDAM, LESS Other Mgmt Fee, LESS NCI = `−NI × (1−Acquirer%)`, summing to E-NCI [C] with pre-close periods forced to 0), and Equity Pre-Overhead E-NCI (Net Income, LESS Non-Controlling Income, ADD Acquirer Mgmt Fee, summing to E-NCI [E]).
- On the Cash Collection &amp; WCLOC tab, add the Cash Collections build at the top of the sheet: Surgical Revenue (INDEX/MATCH from Pro Forma row 47 by period), LESS Bad Debt (INDEX/MATCH from Pro Forma row 59), Net Patient Revenue = the difference, feeding the existing Collections Timing grid.
- On the Cash Collection &amp; WCLOC tab, add the Total Monthly Collections row that applies the in-month + six-month lag collection-percentage timing grid to Net Patient Revenue (In-Month × current NPR, plus month-1 timing × prior-month NPR, plus month-2 timing × two-months-prior NPR, etc., out through six months).
- On the Cash Collection &amp; WCLOC tab, build the "Cash before Working Capital / Cash from Operating Activities" block: Cash Collections (= Total Monthly Collections), Other Revenue (INDEX/MATCH from Pro Forma row 48), Interest Expense (−1× INDEX/MATCH of Pro Forma Net Interest Expense row 77), WCLOC Interest Expense (`MIN(−(prior beginning balance + prior draw) × rate/12, 0)`), Operating Expenses including interest (−1× INDEX/MATCH of Pro Forma Operating Expenses row 84), summed to Net Cash from Operating Activities.
- On the Cash Collection &amp; WCLOC tab, add the Cash from Investing Activities block: Purchase of Equipment (−1× INDEX/MATCH of the monthly CapEx row on the new D&amp;A &amp; Debt Schedules tab), summed to Net Cash from Investing Activities.
- On the Cash Collection &amp; WCLOC tab, add the Cash from Financing Activities block: Working Capital Equity Contribution (blank placeholder), Developer WC Contribution (fires in the payout month per Inputs &amp; Assumptions I93/I94), Existing Facility Debt Principal Payments (−1× INDEX/MATCH of the Facility Debt Principal row on the D&amp;A &amp; Debt Schedules tab), summed to Net Cash from Financing Activities. Then compute Net Change in Cash before WCLOC as the sum of the three activity totals.
- On the Cash Collection &amp; WCLOC tab, build the WCLOC revolver section: a REFERENCE - PAYMENT TYPE row that flags "Interest-Only" until the term-month cutoff then switches to "Principal &amp; Interest"; a Max Draw metric equal to the max of Beginning WCLOC Balance across the horizon (this is what feeds the new Maximum Draw line on Inputs &amp; Assumptions); Beginning WCLOC Balance (rolls from prior Ending: Prior + Draw + Repayment); Cash from Working Capital Draw (fires whenever net change in cash before WCLOC turns negative and cash reserves are insufficient); Principal Repayment (0 during Interest-Only, otherwise `−(WCLOC Payment + WCLOC Interest)`); and Net Cash after WCLOC = Net Change in Cash before WCLOC + Draw + Repayment + prior Ending Cash Balance.
- On the Cash Collection &amp; WCLOC tab, build the Net Cash Distributions section: Beginning Cash Balance (rolls from prior Final Cash Balance + this month's Net Cash after WCLOC); Ending Cash Balance Before Distributions; a 30-Day Operating Expense Reserve (`−AVERAGEIF` of Opex + Interest + DPP row 86 on Pro Forma for the current year); Net Distributable Cash Flow = `MAX(Ending Cash + Reserve, 0)`; Final Cash Balance = Ending less Distributable.
- On the Cash Collection &amp; WCLOC tab, add the Existing Facility Debt input block at the bottom of the sheet (Principal / Months / Interest Rate / Payment via PMT / Term Month) pulled from Inputs &amp; Assumptions rows 91–95 so the sheet-local WCLOC interest and payment-type calculations have their driver values.</t>
        </is>
      </c>
      <c r="H15" s="13" t="inlineStr">
        <is>
          <t>552a9578-aaf8-453b-8f58-e85a1ed40315</t>
        </is>
      </c>
    </row>
    <row r="16" ht="300" customHeight="1">
      <c r="A16" s="13" t="inlineStr">
        <is>
          <t>a0b42bc7</t>
        </is>
      </c>
      <c r="B16" s="12" t="inlineStr">
        <is>
          <t>APPROVE to generating_prompt.</t>
        </is>
      </c>
      <c r="C16" s="13" t="inlineStr">
        <is>
          <t>wangche2532@gmail.com</t>
        </is>
      </c>
      <c r="D16" s="13" t="n">
        <v>8208</v>
      </c>
      <c r="E16" s="13" t="n">
        <v>7699</v>
      </c>
      <c r="F16" s="12" t="inlineStr">
        <is>
          <t>Clear content: Forecast, Unit Economics</t>
        </is>
      </c>
      <c r="G16" s="12" t="inlineStr">
        <is>
          <t>- On `Unit Economics`, add two helper drivers below the recurring churn/growth block — Average Customer Lifetime (1 / (monthly churn / churn-period months)) and, below the transaction block, Average # Repeat Transactions per year (12 / transaction period) and Average # of Lifetime Transactions (1 / (transaction churn / transaction-period months) / transaction-period months) — each wrapped in IFERROR to zero.
- On `Unit Economics`, add the LTV discount-K factors immediately under the Discount Rate: K for recurring = (1 − recurring churn / churn-period) × (1 − discount rate) and K for transaction = (1 − transaction churn / transaction-period) × (1 − discount rate), both wrapped in IFERROR to 1.
- On `Unit Economics`, add an Acquisition and Retention Costs input block containing Customer Acquisition Cost (already present), plus two net-new hardcoded per-unit costs: Cost of Retention and Expansion (recurring) of 5 and Cost of Repeat and Expansion (transaction) of 0.
- On `Unit Economics`, add the LTV summary lines: LTV-recurring using the perpetuity-with-growth form D68×(1/(1−K_rec)+growth×K_rec/(1−K_rec)²) minus recurring discounts; LTV-one-time = one-time gross margin discounted back D30 months at the monthly discount rate; LTV-transaction using the same perpetuity-with-growth form on transaction gross margin less repeat cost, divided by transaction period and less transaction discounts; total LTV summed across the three; LTV / CAC = LTV ÷ |CAC|; and CAC Payback = |CAC| ÷ sum of the three per-period gross-margin-less-cost lines.
- On `Unit Economics`, add the "Details for LTV calculations and Cash Flows per month" section (rows 55–70): SUMIFS pivots of Total Revenues and Total Cost of Sales by stream (Recurring, One time, Transaction) keyed off the E-column stream labels, then Gross Margin per stream = revenue − cost% × revenue, and finally Gross Margin less Cost of Retention/Repeat per stream (recurring less retention cost, transaction less repeat cost, one-time unchanged).
- On `Unit Economics`, lay out the monthly Timescale header row spanning months 0 through 47 (D76 = 0, each successive column = prior + 1) with a final "N month total" label column, plus four timing driver rows underneath: Recurring Billing-cycle counter (MOD trigger against recurring billing period), Recurring Renewal/Churn counter (MOD trigger against recurring churn period), Repeat/Churn counter for transaction (MOD trigger against transaction period, zero-guarded), and a Transactions New-and-Repeat indicator (1 at month 0 then a MOD pulse every ROUND(12/repeat-per-year) months).
- On `Unit Economics`, add three per-period Retention curves: Recurring retention = 1 × (1 − monthly churn)^renewal-counter; One-time retention held flat at 1 across the horizon; Transaction retention = 1 × (1 − transaction churn)^transaction-counter.
- On `Unit Economics`, build the per-month Revenues-net-of-churn rows for each stream: recurring revenue steps up on each renewal cycle applying linear monthly growth (1 + annual-growth/(12×churn-period))^renewal-count and multiplied by retention (else carries prior column); one-time revenue fires only in month D30 and multiplies by retention; transaction revenue applies growth-and-retention every period the transaction flag = 1, seeded from D61 at month 0.
- On `Unit Economics`, mirror the same three-stream logic to build per-month Cost-of-Sales rows (cost% × revenue driver, with the same billing/timing switches) and per-month Discount rows (recurring discount spread evenly over the billing period, one-time discount = 0, transaction discount applied at month 0).
- On `Unit Economics`, build the per-month Billings-net-of-churn rows for each stream (recurring billings fire on each new billing cycle = revenue × billing months, less recurring discount at t=0; one-time billings = one-time revenue; transaction billings = transaction revenue less transaction discount at t=0).
- On `Unit Economics`, build the per-month Acquisition-and-Retention-Costs rows: Acquisition Cost = −|CAC| at month 0 only; Retention Cost = −|retention cost| × recurring retention on each renewal cycle; Repeat Acquisition Cost = −|repeat cost| × transaction retention × transaction flag.
- On `Unit Economics`, add the roll-up rows below the per-stream schedules: Billings-net-of-churn (sum of the three billing streams), Net Revenues net-of-churn (sum of the three revenue streams), Cost of Sales net-of-churn (sum of the three cost streams), and Acquisition-and-Retention-Costs net-of-churn (negative sum of the three cost lines), each with a right-side horizon total.
- On `Unit Economics`, add the Gross Margin and Cash Flow analytical stack: Net Gross Margin per period as an array SUMPRODUCT of (revenue−cost−discount) × retention across streams; Cumulative Gross Margin; discounted versions of both using (1 + discount rate/12)^month; Billings-less-Cost-of-Sales per stream × retention plus a total; Net Cash Flow per period = billings − cost of sales + acquisition/retention costs; Cumulative Net Cash Flow; and discounted versions of both.
- On `Unit Economics`, add the LTV Analysis pair at the bottom: % of LTV realized per period = discounted per-period gross margin ÷ total LTV, and % of LTV realized cumulative = discounted cumulative gross margin ÷ total LTV.
- On `Forecast`, extend the header block above the existing date row with a Calendar/Index stack (rows 5–11): Month # in Model (starts at 1, +1 across), Fiscal Year (nested-IF anchored on Get Started fiscal-year-end using OFFSET −12 to roll years), Quarter in Fiscal Year (nested IF grouping Month#-in-Fiscal-Year into Q1–Q4), Quarter/Year concatenation, Month text (TEXT(date,"mmmm")), Month # in Fiscal Year (MOD offset against fiscal-year-end month), and Year of Operations (1 in first column, then carry forward).
- On `Forecast`, extend the quarterly and annual summary columns (BH–CB) so every new monthly row automatically rolls into them via SUMIFS keyed on the new Fiscal Year and Quarter index rows (annual columns use one-key SUMIFS on Fiscal Year only), and pull the quarter/year headers themselves via INDEX/MATCH on the monthly index.
- On `Forecast`, add the GROWTH assumption block (rows 14–20) driving new-customer volumes: Baseline growth rate seeded from Get Started growth rate then compounded each month by (1 + Get Started monthly change in growth rate); New Users seeded from Get Started starting users at the growth-start date, then prior × (1 + this-month growth rate); Seasonality Impact = new users × INDEX(Get Started seasonality table, MATCH on month name); Manual Input row (carried forward from prior column, defaulting to 0); and total New Users = MAX(0, baseline + seasonality + manual).
- On `Forecast`, add the UNIT ECONOMICS lookup block (rows 23–28) pulling the four Unit Economics per-unit horizon streams — Billings, Net Revenues, Cost of Sales, and Acquisition-and-Retention Expenses — column-by-column from the corresponding Unit Economics per-period rows via IFERROR wrappers.
- On `Forecast`, build the PREBUILT FORECAST cohort engine as four stacked 47-row cohort blocks (Billings rows 33–80, Net Revenues 81–128, Cost of Sales 129–176, Acquisition-and-Retention Costs 177–224). Each block has a header row that sums the cohorts below it; each cohort row is labeled with its origination month/index in columns B and D and pulls its cohort size in column E via INDEX against the New Users total row; the monthly cells use an array formula IF(cohort_start ≤ column month#, cohort_size × INDEX(matching per-unit stream row, column month# − cohort start + 1), 0) so each cohort ages through the per-unit curve starting from its origination month.</t>
        </is>
      </c>
      <c r="H16" s="13" t="inlineStr">
        <is>
          <t>a0b42bc7-af28-40a5-80c2-7a103169a005</t>
        </is>
      </c>
    </row>
    <row r="17" ht="300" customHeight="1">
      <c r="A17" s="13" t="inlineStr">
        <is>
          <t>41fbe12c</t>
        </is>
      </c>
      <c r="B17" s="12" t="inlineStr">
        <is>
          <t>APPROVE to generating_prompt.</t>
        </is>
      </c>
      <c r="C17" s="13" t="inlineStr">
        <is>
          <t>apathy@uchicago.edu</t>
        </is>
      </c>
      <c r="D17" s="13" t="n">
        <v>8187</v>
      </c>
      <c r="E17" s="13" t="n">
        <v>14756</v>
      </c>
      <c r="F17" s="12" t="inlineStr">
        <is>
          <t>Cleared DCF, Unused LLC DCF, Returns and Metrics, 2. Financial &amp; Valuation Sum, 4. Assumptions, Appendix, Pipeline Extract, OSP Pipeline Extract, Valuation.</t>
        </is>
      </c>
      <c r="G17" s="12" t="inlineStr">
        <is>
          <t>- Build out the `Appendix` tab from empty by adding the deal‑name header pulling from Inputs &amp; Assumptions F6, the tab‑name label "Appendix", the "Revenue Bridge" section header, and the print/formatting toggle row ("Formatting", "Print", "&lt;&lt;&lt; flip this to make all fonts black for printing").
- Extend the `Valuation` tab's Key Metrics block (column H, rows 6–11) so that UL AT Cash Multiple pulls from the DCF invested‑capital multiple, IYC and FYC (IOI) pull the initial‑year and following‑year totals from the Pipeline Extract, UL IRR pulls the current‑price IRR from the DCF, and IOI/E‑NCI Ratio and EVA Variance pull from the Returns and Metrics tab.
- Build the `4. Assumptions` tab from empty as a Modeled Assumptions summary: header pulling deal name from Inputs &amp; Assumptions F6, a year row starting with =YEAR('Inputs &amp; Assumptions'!F12) and stepping +1 across columns E–I, and rows pulling Profit Split to MSO, OSP Ownership in MSO, Physician Volume Growth (with % Growth), Professional Revenue per Pod MD Added, Ancillary Revenue per Pod MD Added, Revenue Growth (with % Growth), Professional/DME/Drugs/Fluoro./MRI/PT/X‑Ray revenue synergies, Initial Synergy Costs, SCA Taxes, and CapEx from Inputs &amp; Assumptions and Practice Pro Forma columns L–Q, with a "Notes and Comments" column populated as "Arrowlytics" for the synergy rows.
- Populate the `OSP Pipeline Extract` tab from empty with a single-row extract that pulls Facility/Transaction fields (Transaction, City, State, Close Date, Model Owner, Specialty, # Docs, # Shareholders, Revenue, Comp, SCA % of Comp) from Inputs &amp; Assumptions and Historical Financials, Returns/Synergies fields (TTM &amp; FY Rev/MD, TTM &amp; FY Comp/SH, IYC/FYC IOI from Valuation H7/H8, Capital – Cash / WC / Debt Assumed from Valuation column F, IRR % from DCF V21, Synergy Revenue and Synergy Costs summed from Inputs &amp; Assumptions column N, and # Partners/Shareholders Added summed from Inputs &amp; Assumptions row 64) — including the two DO NOT ADJUST / instruction banner rows.
- Build out the `Pipeline Extract` tab from empty with the instruction/banner rows (rows 1–3), a full row‑6 header schema across Facility Detail, Internal Transaction Detail, Operating Platform, Timeline, Financial Metrics, De Novo Pre‑Opening Expenses, and Monthly E‑NCI/IOI section groupings, and a single deal row (row 7) linking every field to Inputs &amp; Assumptions, Historical Financials, Valuation, DCF, MSO Pro Forma, Practice Pro Forma, Returns and Metrics, and the Financial &amp; Valuation Summary — including E‑NCI/IOI multiples defined as Capital/AS7 and Capital/BC7, EBITDA CAGR pull, and hardcoded zeros for Mgmt Fee, Capital Lease, Internal Deal Costs, and External Deal Costs (all 0) and N/A for De Novo pre‑opening lines.
- Add the monthly E‑NCI and IOI extraction grid (columns BH–DC) on `Pipeline Extract`: build a "Months of Ownership" scalar =12-MONTH(BH4)+1 anchored on EOMONTH of the close date, a 24‑month rolling EOMONTH date strip for E‑NCI starting at the close date, a parallel 24‑month strip for IOI starting again at close date (column CF), a YEAR row above each date, hardcoded month numbers 1–24 in row 6, and INDEX/MATCH pulls of the annual E‑NCI (MSO Pro Forma row 42 + Practice Pro Forma row 115) and IOI (row 41 + row 114) totals divided by 12 (or by Months of Ownership in the partial first year).
- Build out the `2. Financial &amp; Valuation Sum` Financial Summary block (rows 5–65): header/title rows, a FYE column strip pulling MSO Pro Forma J6:Q6, and stacked P&amp;L sections for Volume/Physicians, Practice P&amp;L (Professional, Capitated, DME/Drugs/Fluoro/MRI/PT/X‑Ray ancillary lines with Total Ancillary, Total Practice Revenue, Practice Expenses, Practice Pre‑Physician Comp EBITDA, MSO Profit Split, MSO Profit, Expenses Reimbursed, Practice Transfer to MSO) and MSO P&amp;L (Practice Transfer Revenue, MRI Leasing Revenue, Total MSO Revenue, Expenses Reimbursed, MSO Local Expenses, MSO EBITDA, D&amp;A, Net Interest Expense, MSO Pre‑Physician Comp NI, IOI, E‑NCI, SCA Ownership of MSO = 'Inputs &amp; Assumptions'!$F$20 − $L$10), each with % Growth / % Margin / per‑Physician sub-rows, a five‑year CAGR column O (ROUND(POWER(N/I,1/5)-1,3)), and a Checks column Q that ties each subtotal back to the Practice or MSO Pro Forma engine.
- Build the Key Metrics Summary sub-block on `2. Financial &amp; Valuation Sum` (rows 67–80): Total Revenue per Physician (sum of the per‑physician professional, capitated, and ancillary rows), UL Distributions per Physician and Levered Distributions per Physician (MSO + Practice Pro Forma row sums), Patient Visits per Physician (Practice Pro Forma row 70), and placeholder MRI Clicks / PT Visits / X‑Rays per Physician rows, each with a five‑year CAGR and a % Growth row.
- Build the DCF Sensitivity Analysis on `2. Financial &amp; Valuation Sum` (rows 82–93) mirroring the DCF tab: Purchase Price / E‑NCI matrix on left, Purchase Price / Y‑P E‑NCI matrix on right, with perpetuity growth rate strip stepping ±0.5% around a hardcoded 0 center for both blocks, and each row's discount rate label reading from DCF E44:I48 sensitivity outputs then divided by K62 (yr P E‑NCI) for the multiples table.
- Build the Purchase Price Sensitivity Analysis on `2. Financial &amp; Valuation Sum` (rows 95–115): "At‑LOI vs Post‑Dil" column and a five‑case sensitivity ("10% Discount / 5% Discount / Current / 5% Prem / 10% Prem") applied to Equity Purchase (×90%/95%/100%/105%/110%), holding Cash Contribution and Debt Assumed constant, then rolling to Purchase Price, Purchase Price / Y‑P E‑NCI, Equity Investment / Physician Owner (÷H9), and an IRR row linked to DCF and array‑formula sensitivity cells.
- Build the `Returns and Metrics` OUTPUT A Investment Dashboard (rows 5–15): UL AT Cash Multiple from Valuation H6, SCA UL AT Cash Flow CAGR label built from year column headers with a ROUND(POWER(Q9/M9,1/4)-1,3) CAGR, IOI CAGR row, IOI-to-E‑NCI Ratio =AVERAGE(N9:O9)/AVERAGE(N15:O15) with hurdle text "1.0x - 2.0x", and Levered IRR pulling DCF V32.
- Build `Returns and Metrics` OUTPUT B1 IOI and OUTPUT B2 E‑NCI columns (rows 5–15): year strip from MSO Pro Forma row 6, Practice IOI row 114 + MSO IOI row 41 for OUTPUT B1 with Total IOI sum, and Practice E‑NCI row 115 + MSO E‑NCI row 42 for OUTPUT B2 with Total E‑NCI sum.
- Build `Returns and Metrics` OUTPUT C Economic Value Add (rows 18–37): UL EVA Calculation summing SCA PT Distributions (avg from MSO row 77 + Practice row 150), SCA Management Fee (avg from row 81 + row 154), −Overhead (avg from row 82 + row 155), and −Capital Charge; Capital Charge Calculation as Capital Outlay (=Valuation!F36) × 2% (hardcoded 0.02); EVA Threshold Test = EVA − 2% of Capital Outlay to yield Variance; and a footnote referencing the second two years of full ownership.
- Build `Returns and Metrics` OUTPUT D Operating Results block (rows 18–32): year strip, PC &amp; MSO Levered PT Distributions with sub‑splits (MD Share @1 = 1 − 'Inputs &amp; Assumptions'!$F$22, SCA Share @ = 'Inputs &amp; Assumptions'!G22, Sponsor A Share = 1 − M22 − M21) summing the corresponding MSO Pro Forma rows 95/98/101/103 and Practice Pro Forma rows 168/171/174/176, SCA Unlevered AT Cash Flow (row 86 + row 159), SCA Unlevered AT Cash Multiple = Valuation!$F$65/SCA UL AT CF, SCA E‑NCI (row 42 + row 115), and SCA Effective Multiple.
- Build `Returns and Metrics` OUTPUT F Valuation &amp; Invested Capital Summary (rows 34–48): Cash Contributions Scenarios matrix pulling MSO EBITDA (Valuation!$H$24) × Multiple (Valuation!$D$6) − Debt (Valuation!$H$27) + Cash (Valuation!$H$29 with a ×2 alternate case), computing Post Money Equity Value, SCA Ownership Post Money = O41/O42, Additional % SCA to Purchase = Valuation!$D$10 − O43, SCA Money for Additional %, Total SCA Capital Outlay, Total SCA Ownership, and Sponsor Ownership Less Partner B % = O47 − 'Inputs &amp; Assumptions'!$L$10.
- Build `Returns and Metrics` Sources &amp; Uses of Capital block (rows 42–46): Sources = SCA Cash (Valuation H61+H62) + SCA Debt Liability (Valuation H64); Uses = Cash Contribution (H61) + Equity Purchase (H62) + Debt Assumption (H64), with Total Sources / Total Uses subtotals.
- Build `Returns and Metrics` OUTPUT G Physician Detail table shell (rows 54–72): column headers Physician Name / Specialty / Ownership % / Age / TTM NPR/Case / TTM Volume / TTM Revenue / TTM Distributions / Liquidity and a repeating footnote about ownership‑percent ties.
- Extend the `DCF` tab: build the assumptions header (Effective Valuation Date pulling Inputs &amp; Assumptions F12, Discount Rate 0.1, Perpetuity Growth Rate 0.03) and the Present Value of Cash Flows Calculation block — year date strip from Inputs &amp; Assumptions F12+1 stepping annually, Total SCA AT UL Cash Flows from Practice (Practice Pro Forma row 159) and MSO (MSO Pro Forma row 86) with total row and terminal‑year =O17*(1+$F$8); Stub Period = YEARFRAC(F6, date) capped at 1, Discount Period on half‑year convention (I19/2 then +1s), Present Value Factor 1/(1+F7)^period, and AT Operating Cash Flow at Present Value.
- Build the `DCF` Enterprise Value and Multiples block (rows 28–37): PV of Cash Flows = SUM(I24:O24), PV of Reversionary Value = P24/(F7−F8), Enterprise Value = sum, Net Debt/Excess Cash = −(Valuation!H64 − Valuation!H61), Equity Value, Implied Transaction Multiples row of EV / (MSO NCI + Practice NCI) for each projected year, and UL AT Cash Multiple = Valuation!$F$65/AVERAGE($K$17:$L$17).
- Build the `DCF` Sensitivity Analysis (rows 39–48) as a two‑variable data table on Enterprise Value indexed by Discount Rate (row axis stepping ±1% around center 0.1) and Perpetuity Growth Rate (column axis stepping ±0.5% around 0.03), plus a parallel EBITDA‑NCI multiple table dividing the EV outputs by MSO row 42 + Practice row 115.
- Build the `DCF` IRR sensitivity engine (rows 17–34, columns U–PN): daily/annual date strip anchored at Effective Valuation Date, cash‑flow rows for "10% Discount / 5% Discount / Current Price / 5% Premium / 10% Premium" that shift Valuation!$H$63 (equity outlay) by ±5%/10%, X = W − Valuation!$H$64 debt, followed by annual UL cash flows across Y:AD tied to I17:N17, and XIRR(cash flow strip, date strip) in column V for each scenario, plus DCF Check row =XIRR(-G33, cash flows) with status flag ("OK"/"CHECK" if V25 ≈ F7). Add PC Only and MSO Only IRR variants using Valuation!H49/H53/H55 and Valuation!H29/H33/H35 for outlay and Practice Pro Forma row 159 / MSO Pro Forma row 86 for cash flows.
- Build the `DCF` Levered IRR block (rows 31–34) with Current Price / PC Only / MSO Only rows using the same W outlay values but replacing UL cash flows with MSO Pro Forma row 112 + Practice Pro Forma row 185 (Levered PT distributions), plus PC‑only and MSO‑only variants.
- Build the `DCF` IRR/ROIC returns tables (rows 50–56 and 99–108): five‑price sensitivity of Upfront Capital Outlay (=-X19..X23), IRR (=V19..V23), and ROIC per year computed as K60/I52 where K60 = MSO Pro Forma M117 + Practice Pro Forma M190 (After‑Tax Operating Income) across projection years; label column with 10% Discount / 5% Discount / Current Price / 5% Premium / 10% Premium.
- Build the `DCF` Present Value of Invested Capital / Earn Out block (rows 63–97): Cost of Capital = 0.1, Upfront Consideration = Valuation!$F$65, Earn Out Payment = MIN(Multiple × EBITDA over Threshold, Max Earn Out) with EBITDA Threshold/Target scaffold (hardcoded 0/0 for Y1 then 10/15 for years 2‑6), Earn Out Multiple = Max/(Target−Threshold), Invested Capital and Cumulative Invested Capital rows, half‑year‑convention discount periods, PV factors 1/(1+$E$66)^period, and Return on Invested Capital = K60/K95.
- Build the `DCF` Returns Table – Earn Out Structure (rows 110–119): five‑price sensitivity replicating the upfront IRR/ROIC table but with Invested Capital = P78 (cumulative), IRR = X74, and ROIC row values pulling K97:P97; use hardcoded initial capital outlay column K115:K119 (142800 / 153000 / 163200 / 173400 / 183600) and a 5‑year ROIC grid populated with 0.1 / 0.2 test values.
- Build the parallel `Unused LLC DCF` tab from a near‑empty shell as a stand‑alone LLC valuation: DCF Assumptions (Income Tax Rate from Inputs &amp; Assumptions F42, CapEx = "Management Estimates", Working Capital = Inputs &amp; Assumptions F43 × Δ Revenue, Discount Rate 0.1, Perpetuity Growth Rate 0), year date strip, LLC P&amp;L (Total Revenue from MSO Pro Forma row 12, EBITDA from MSO Pro Forma row 20 with % Growth and % Margin), SCA E‑NCI = EBIT × Ownership Stake ('Inputs &amp; Assumptions'!$F$20).
- Build the `Unused LLC DCF` LLC Cash Flows (rows 28–52): EBIT = EBITDA − D&amp;A (MSO Pro Forma rows 24+25), Income Tax Expense at $I$6, After‑Tax Operating Income, Add D&amp;A, Less CapEx (MSO Pro Forma row 64) and Less WC Changes (row 65) — with terminal‑year CapEx = −D&amp;A and WC = −$G$8×ΔRevenue — After‑Tax Operating Cash Flow, × Ownership Stake row, and SCA Cash Flows from Specialty Practice.
- Build the `Unused LLC DCF` PV/EV block (rows 54–72): Stub Period, Discount Period (half‑year convention), Present Value Factor at $R$7, PV of AT Operating Cash Flow (with K59 = K52×K57×K54 for stub period), PV of Cash Flows summed, PV of Reversionary Value = Q59/(R7−R8), Enterprise Value, Net Debt / Excess Cash, Equity Value, and Implied Transaction Multiples (EV/Revenue and EV/EBITDA‑NCI).
- Build the `Unused LLC DCF` two‑variable Sensitivity Analysis for Enterprise Value @ 51% Ownership (rows 74–83) with Discount Rate axis stepping ±1% around 0.1 and Perpetuity Growth Rate axis stepping ±0.5% around 0, and a parallel Y‑P EBITDA‑NCI Multiple table dividing outputs by $L$24.
- Build the `Unused LLC DCF` IRR engine (columns U–PL, rows 19–38): daily half‑year date strip from R6, EBITDA cash flow row seeded from PV block (V20:AB20 =K52*K54 … Q52) then grown by (1+$R$8), +CF/−CF rows netting to Net CF, XIRR against date strip, IRR check row, ROIC Type toggle "Upfront" vs Earn‑Out.
- Build the `Unused LLC DCF` Invested Capital / Earn Out block (rows 93–116) with Cost of Capital 0.1, Upfront Consideration = Valuation!F65, EBITDA Threshold/Target scaffold hardcoded 0/0 for Y1 then 10/15 for Y2‑6, Maximum Earn Out Payment, Earn Out Multiple, EBITDA Over Threshold, Invested Capital and Cumulative rows, half‑year‑convention PV factors at $E$95, and NPV of Invested Capital.
- Build the `Unused LLC DCF` ROIC and IRR Returns Tables (rows 118–148): Return on Invested Capital = K40/K124, an Upfront‑payment five‑price returns table using Valuation!$F$65 anchor with hardcoded outlay grid 142800 / 153000 / 163200 / 173400 / 183600 and 0.1 IRR/ROIC placeholder grid, plus an Earn Out Structure returns table with 0.1/0.2 ROIC placeholder grid, and a ROIC Type toggle that switches the summary block between the two tables via IF($H$85="Upfront",…).</t>
        </is>
      </c>
      <c r="H17" s="13" t="inlineStr">
        <is>
          <t>41fbe12c-7c20-463d-96e8-4ae8700d1c0d</t>
        </is>
      </c>
    </row>
    <row r="18" ht="300" customHeight="1">
      <c r="A18" s="13" t="inlineStr">
        <is>
          <t>7b4c773f</t>
        </is>
      </c>
      <c r="B18" s="12" t="inlineStr">
        <is>
          <t>APPROVE to generating_prompt.</t>
        </is>
      </c>
      <c r="C18" s="13" t="inlineStr">
        <is>
          <t>apathy@uchicago.edu</t>
        </is>
      </c>
      <c r="D18" s="13" t="n">
        <v>7637</v>
      </c>
      <c r="E18" s="13" t="n">
        <v>6881</v>
      </c>
      <c r="F18" s="12" t="inlineStr">
        <is>
          <t>Cleared DCF &amp; IRR, Draw Schedule.</t>
        </is>
      </c>
      <c r="G18" s="12" t="inlineStr">
        <is>
          <t>- On the **Draw Schedule** tab, layer a "Details" input header block above the pre-existing S-Curve Strength anchor: pull Construction Start and Construction End dates from the I&amp;A timeline, compute Construction Duration as DATEDIF of the two dates in months, and label the S-Curve Strength driver (existing value 4).
- Below the Details block on **Draw Schedule**, build a Project Cost Item table that pulls the four project-cost line items (labels, cost, LTC%) by direct reference from the I&amp;A capex block, then compute Project Cost as the SUM of the four costs and blended LTC as SUMPRODUCT of LTC × Cost divided by total Project Cost.
- Add a Cedarbrook portion sub-block on **Draw Schedule**: pull the Cedarbrook ownership % from I&amp;A, compute Cedarbrook Portion of Project Cost as total Project Cost × ownership %, and Cedarbrook Equity as that portion × (1 − blended LTC).
- Build the monthly Draw Schedule grid on **Draw Schedule** spanning 30 columns: a date row starting at Construction Start and stepping via EOMONTH, a Construction Month counter (starting at the existing anchor value 1 and incrementing +1), and a Total column that SUMs the monthly cells.
- On the same grid, populate the "Construction Draw" row using a normal-distribution S-curve: for each month, gate the cell with AND(month ≥ start_month, month ≤ end_month) and compute the incremental S-curve share as (NORM.DIST(m − start+1, duration/2, duration/strength, TRUE) − NORM.DIST(m − start, duration/2, duration/strength, TRUE)) / (1 − 2·NORM.DIST(0, duration/2, duration/strength, TRUE)) × total Project Cost.
- Add a "Debt" row on **Draw Schedule** that pulls blended LTC into column F and spreads it across months as LTC × monthly Construction Draw; add an "Equity" row that uses (1 − LTC) as the anchor and spreads similarly; both rows sum across in column E.
- Add a "Cumulative Draw" row on **Draw Schedule** that running-sums the monthly Construction Draw across the grid and returns MAX of the row in column E.
- Add an "Output (for DCF)" block at the bottom of **Draw Schedule** with two rows: Cedarbrook Equity Draw (Unlevered) = Cedarbrook ownership × monthly Construction Draw (spreads the full construction draw at the Cedarbrook %), and Cedarbrook Equity Draw (Levered) = Cedarbrook ownership × monthly Equity row (spreads only the equity slice at the Cedarbrook %); each sums to column E. Add two IRR readback cells that link to the Unlevered and Levered Current IRRs on the DCF &amp; IRR tab.
- On the **DCF &amp; IRR** tab, build a DCF Assumptions header block: title, Income Tax Rate (pulled from I&amp;A), a "See Build" tag for Capex, Working Capital as % of revenue set to 0.10, First Patient date pulled from I&amp;A, Discount Rate set to 0.10, and Perpetuity Growth Rate set to 0.
- Build the annual timeline for the Unlevered DCF on **DCF &amp; IRR**: a year-number row =YEAR of the date row, a date row starting at First Patient and stepping by EDATE(prior,12), and a Pre-Ops/period-index row that tags column F "Pre-Ops" and starts the operating counter at 1 in column G stepping +1.
- Populate the Unlevered cash-flow strip on **DCF &amp; IRR**: Total Revenue linked to Pro Forma!R/CB/CC/CD/CE/CF row 43, Cedarbrook AT Unlevered Cash linked to Pro Forma!R44 in Pre-Ops and to Cedarbrook Cash Flow row 29 in operating years, Working Capital Δ computed as −(current-year Revenue − prior-year Revenue) × WC% × Cedarbrook ownership from I&amp;A, and post-WC unlevered cash as the SUM of the two.
- Add discounting mechanics to the Unlevered DCF on **DCF &amp; IRR**: Terminal Value in the final operating column as post-WC cash × (1+g)/(r−g); Year Fraction row using MIN(YEARFRAC(First Patient, year-end), 1); Discount Period as half of Year Fraction in the first operating column and +1 each year thereafter; Present Value Factor as 0 when tagged Pre-Ops else 1/(1+r)^period; PV of Cash Flows = post-WC cash × PV factor; PV of TV = TV × final PV factor; AT UL Cash at PV = SUM of the two.
- Add the enterprise-to-equity roll on **DCF &amp; IRR**: Enterprise Value (Cedarbrook Portion) = SUM of AT UL Cash at PV across the timeline; Less Cedarbrook Debt linked to I&amp;A!F60; Equity Value (Cedarbrook Portion) = EV − Debt.
- Build the Unlevered IRR strip on **DCF &amp; IRR** across ~430 monthly columns (F:PT): a monthly-then-annual date row that steps via EOMONTH during construction (using the row-39 flag to detect month-zero) and via DATE(YEAR+1,6,30) thereafter; a labeling row that tags construction columns "Constrx" and annual columns =YEAR of the date; a "Current" cash-flow row that pulls −Draw Schedule Cedarbrook Equity Draw (Unlevered) during construction and switches to SUMIFS of annual post-WC unlevered cash by year (with post-forecast years grown at perpetuity growth g); a DCF-Check row = −Enterprise Value spread the same way, with a check cell comparing its XIRR to the input discount rate; five sensitivity rows at 90%/95%/current/105%/110% of the Current cash flow; an "At Phase B" row = Current; and an XIRR column E for each row using the date row as its dates.
- Repeat the Levered DCF block on **DCF &amp; IRR** (rows 46–64) with the same year timeline, tax and WC logic, and discounting mechanics, but pulling Cedarbrook AT Levered Cash from Cedarbrook Cash Flow row 54 (with 0 in Pre-Ops) and rolling directly to Equity Value (no debt subtraction).
- Build the Levered IRR strip on **DCF &amp; IRR** (rows 66–73) mirroring the Unlevered IRR strip but pulling −Draw Schedule Cedarbrook Equity Draw (Levered) during construction and using the same 90/95/current/105/110/AtPhaseB fan and XIRR column.
- Convert the pre-existing hard-coded sensitivity grid on **DCF &amp; IRR** (rows 80–84 × cols E–I) into a live two-variable data table: add a Capital Investment header row and Perpetuity Growth Rate header row; wire the Perpetuity axis (row 79) around center 0 in ±0.5% steps and the Discount Rate axis (column D) around center 0.10 in ±1% steps; place the DCF anchor formula in D79 = Enterprise Value and convert cell E80 into a TABLE(Perpetuity, Discount) data table computing EV across the grid.
- Add a companion sensitivity block on **DCF &amp; IRR** (rows 86–93) that divides each cell of the EV sensitivity by Pro Forma!CD82 (Year-3 E-NCI) to express the sensitivity as a multiple, using the same axis references.
- Build the ROIC schedule at the bottom of **DCF &amp; IRR** (rows 95–106): pull a 9-year year strip starting from the DCF's first operating year (row 15) incrementing +1; pull NOPAT (Cedarbrook Share) from Pro Forma!CB75:CF75 for years 1–5 and grow years 6–9 at perpetuity growth rate g; build a Purchase Price sensitivity table with five rows keyed off center price = −(I&amp;A!F38 + I&amp;A!G38) at 90/95/100/105/110% and columns for each year, where each cell is SUMIF of NOPAT for that year divided by −Purchase Price, with row labels linked to the corresponding Unlevered IRR sensitivity labels.</t>
        </is>
      </c>
      <c r="H18" s="13" t="inlineStr">
        <is>
          <t>7b4c773f-02c0-42cf-a37b-04b6773b86c0</t>
        </is>
      </c>
    </row>
    <row r="19" ht="300" customHeight="1">
      <c r="A19" s="13" t="inlineStr">
        <is>
          <t>62d0dff1</t>
        </is>
      </c>
      <c r="B19" s="12" t="inlineStr">
        <is>
          <t>APPROVE to generating_prompt.</t>
        </is>
      </c>
      <c r="C19" s="13" t="inlineStr">
        <is>
          <t>wangche2532@gmail.com</t>
        </is>
      </c>
      <c r="D19" s="13" t="n">
        <v>7131</v>
      </c>
      <c r="E19" s="13" t="n">
        <v>5587</v>
      </c>
      <c r="F19" s="12" t="inlineStr">
        <is>
          <t>Delete tabs: DCF &amp; IRR, Valuation Assumptions</t>
        </is>
      </c>
      <c r="G19" s="12" t="inlineStr">
        <is>
          <t>- On a new `Valuation Assumptions` tab, build the Transaction Inputs block: hardcode Developer EBITDA Multiple 10, Physician EBITDA Multiple 7, and Acquirer Mgmt Fee Buyout 0; compute Multiple on Existing Fees as the buyout divided by TTM adjusted management fees from Adjusted Financials (with an IFERROR "N/A"); add Internal deal costs 180000 and External deal costs 600000 with a Total = sum.
- Below that, build a two-column Valuation walk with headers "Unlevered" and "Facility Levered". For each column, pull TTM Adjusted EBITDA from Adjusted Financials twice, multiply by the Developer and Physician multiples respectively to compute a Developer Enterprise Value and a Physician Enterprise Value.
- Add a blended-EV block: pull Developer Equity Sold and Physician Equity Sold from Inputs &amp; Assumptions (J−K rows for each holder), compute Blended Enterprise Value as the equity-weighted average of the Developer and Physician EVs, and back out an implied Seller Multiple as Blended EV / TTM EBITDA.
- Add the debt bridge: under Unlevered, force Existing Facility Debt and Existing Capital Leases to 0; under Facility Levered, pull those two values from Inputs &amp; Assumptions. Equity Value = Blended EV − existing debt − existing leases.
- Add the acquirer cash outlay stack: pull Acquirer Equity Purchase % from Inputs &amp; Assumptions; compute Acquirer Equity Purchase = Equity Value × %, plus Acquirer Portion Mgmt Fee Buyout and Acquirer Deal Costs from the inputs block above; add an Acquirer Pro Rata WCLOC Assumption = Inputs &amp; Assumptions WCLOC × Acquirer % (placed above the line in Unlevered, below the line in Facility Levered, with the other column zeroed) and sum to Acquirer Cash Outlay.
- Add the total-capital block: under Unlevered set Acquirer Pro Rata Debt Assumption to 0; under Facility Levered compute it as Acquirer % × (existing debt + leases). Total Capital Outlay = Cash Outlay + Debt Assumption + the offsetting WCLOC line, so both columns reconcile to a comparable total.
- On a new `DCF &amp; IRR` tab, build the DCF Assumptions header: pull Income Tax Rate from Inputs &amp; Assumptions, mark Capital Expenditures as "See Build", hardcode Working Capital % of Revenue 0.10, pull Close Date from Inputs &amp; Assumptions, hardcode Discount Rate 0.10 and Perpetuity Growth Rate 0.
- Build the Unlevered DCF projection strip across the Pro Forma calendar years: pull period-end dates from Pro Forma row 4, add a Close/Pre-Close/Proj. flag comparing each year to the close-date year, pull Total Revenue from Pro Forma row 49 and Acquirer AT Unlevered Cash from Pro Forma row 140, compute Working Capital investment as −Δrevenue × WC% × Acquirer %, and sum to Acquirer AT Unlevered Cash post-WC.
- Add the Unlevered discounting mechanics: Terminal Value in the final period = post-WC cash × (1+g)/(WACC−g); Year Fraction = 0 if pre-close, else MIN(YEARFRAC(close, Dec-31), 1); Discount Period = 0 pre-close, half the year fraction in the close period, then prior period + 0.5 in the first proj. year and +1 thereafter; Present Value Factor = 1/(1+r)^period; PV of Cash Flows = post-WC × PV factor; PV of TV in the terminal column; sum to AT UL Cash at Present Value.
- Add the Unlevered valuation output: Enterprise Value = sum of AT UL PVs across all columns; Less Acquirer Debt pulled from the Facility Levered debt line on the Valuation Assumptions tab; Equity Value = EV − debt.
- Build the Unlevered IRR schedule with six scenarios labeled 10% Discount, 5% Discount, Current, 5% Premium, 10% Premium, and At LOI. Create a horizontal date strip starting at the close date, then a mid-close date computed as (Dec-31 − close)/2 + close − 1, then successive June-30 dates for many years extending out to column OQ (~400 columns); the header row is YEAR() of each date. Seed the Current row at −(Valuation Assumptions Unlevered Equity Purchase + Mgmt Fee Buyout + WCLOC assumption); seed 10%/5% Discount and 5%/10% Premium as ±multipliers on the Current seed (0.9, 0.95, 1.05, 1.1); seed At LOI at Current and DCF-check at −EV. For every subsequent column, pull the AT UL post-WC cash for that year via SUMIFS on the projection strip if within the projection horizon, else grow the prior column by (1+g). Compute IRR in an anchor column as XIRR of the full row against the date row. Add a DCF Check flag comparing the Current IRR to the discount rate.
- Repeat the entire construction for the Levered DCF: same structure but pull Acquirer AT Levered Cash from Pro Forma row 164, drop the Less Acquirer Debt line (Equity Value = sum of Levered PVs directly), seed the Current IRR scenario at −(Valuation Assumptions Facility Levered Equity Purchase + Mgmt Fee Buyout) with no WCLOC term, and reuse the same 0.9/0.95/1.05/1.1 seeds and the identical multi-hundred-column date/cash-flow extension out to column OQ for XIRR.
- Add a DCF Sensitivity block: a 5×5 Excel Data Table with row inputs stepping Discount Rate by ±0.5% around a 0.10 center (two down, two up) and column inputs stepping Perpetuity Growth Rate by ±1% around 0 (two below, two above), driving the Unlevered Enterprise Value output. Add a parallel table below it that divides each sensitivity cell by Pro Forma acquirer EBITDA (row 186) to express the sensitivity as an EV/E-NCI multiple.
- Add the ROIC block: pull NOPAT (Acquirer Share) from Pro Forma row 82 across the projection years and extend beyond the last projected year by (1+g); build a purchase-price column linked to the six IRR scenario seeds above; compute ROIC for each scenario × year as SUMIF of NOPAT by year divided by −purchase price.</t>
        </is>
      </c>
      <c r="H19" s="13" t="inlineStr">
        <is>
          <t>62d0dff1-ef18-40ae-879c-f7dd0fc7a67e</t>
        </is>
      </c>
    </row>
    <row r="20" ht="300" customHeight="1">
      <c r="A20" s="13" t="inlineStr">
        <is>
          <t>443385cc</t>
        </is>
      </c>
      <c r="B20" s="12" t="inlineStr">
        <is>
          <t>APPROVE to generating_prompt.</t>
        </is>
      </c>
      <c r="C20" s="13" t="inlineStr">
        <is>
          <t>wangche2532@gmail.com</t>
        </is>
      </c>
      <c r="D20" s="13" t="n">
        <v>5573</v>
      </c>
      <c r="E20" s="13" t="n">
        <v>7623</v>
      </c>
      <c r="F20" s="12" t="inlineStr">
        <is>
          <t>Clear content: Pro Forma!A1:CZ111</t>
        </is>
      </c>
      <c r="G20" s="12" t="inlineStr">
        <is>
          <t>- Build the Volume &amp; Contribution driver strip in rows 26–31: pull organic case growth, organic NPR/case growth, organic supplies/case growth, and organic SWB/case growth from the assumptions growth grid via SUMIFS keyed on the month-count header, and pull inorganic NPR/case growth from the assumptions inorganic block filtered to "ON" scenarios.
- Build the Base Case block in rows 7–14: seed the ADJ TTM anchor column with Adjusted Financials pulls for Base Cases, Base Revenue, Base Supplies, and Base SWB, and set the anchor month equal to the TTM/12; in each forward month, grow Base Cases by the organic case growth driver and grow per-case NPR/supplies/SWB by their respective organic growth drivers plus inorganic NPR growth, then multiply each per-case metric by Base Cases to derive Base Revenue, Base Supplies, and Base SWB dollars.
- Build the Decremental block in rows 16–19 and Incremental block in rows 21–24: seed both with 0 in the anchor column, and in each monthly column pull cases/revenue/supplies/SWB from the assumptions add/lose-block filtered to "ON" scenarios, splitting negative values into Decremental and positive values into Incremental via signed SUMIFS on the month-count header.
- Build the Total row set in rows 33–36: sum Base Cases with net incremental/decremental cases to get Total Cases, and add Base + Decremental + Incremental for Total Revenue, Total Supplies, and Total SWB.
- Build the Case Ramp adjustment block in rows 38–43: pull the "Working Days" and "Seasonality" toggle labels from the assumptions inputs, compute an ADJ: Working Days factor via a VLOOKUP of the month-end date against the Physician Inputs working-day table divided by the average monthly base (zeroing out when the toggle is off), compute an ADJ: Seasonality factor via an HLOOKUP of the month number against the Physician Inputs seasonality row (zeroing out when the toggle is off), and pull a Case Ramp factor via INDEX/MATCH of the month-count header against the assumptions ramp block; multiply Total Cases by (1 + working days) × (1 + seasonality) × (1 + case ramp) to produce Total Adjusted Cases.
- Build the P&amp;L revenue block in rows 45–49: set Surgical Cases equal to Total Adjusted Cases; seed anchor-column Surgical Revenue, Other Revenue, and Total Revenue from Adjusted Financials/12; in each forward month calculate Surgical Revenue as Surgical Cases × NPR/Case KPI, roll Other Revenue forward by the prior month grown by the Other Revenue growth driver, and sum to Total Revenue.
- Build the operating-cost block in rows 53–61: seed anchor-column Supplies, SWB, Variable Direct, Variable Indirect, Rent, and Fixed from Adjusted Financials/12 and set RBO Fee and Integration Expenses to 0; in each forward month drive Supplies, SWB, and Variable Direct off Surgical Cases × their respective per-case KPI (with SWB overridden to hold at the anchor value while the period counter is ≤ the assumptions SWB-hold threshold), roll Variable Indirect, Rent, and Fixed forward off the prior month grown by their growth drivers (with Rent forced to 0 when the assumptions Rent treatment equals "Capital"), calculate Bad Debt as Surgical Revenue × Bad Debt %, calculate RBO Fee as 0 during Pre-Close periods and otherwise as the assumptions RBO rate × Surgical Cases, and set Integration Expenses to the assumptions Integration expense hardcode while the period counter is ≤ the assumptions Integration cutoff (0 otherwise).
- Build the EBITDAM row in row 62 as Total Revenue less the sum of Supplies, SWB, Variable Direct, Variable Indirect, Rent, Fixed, Bad Debt, RBO Fee, and Integration Expenses.
- Build the Management Fee Scenarios selector block in rows 64–70: pull the three scenario labels and their base % of NPR-BD, Acquirer % of Fee, and Active Scenario index from the assumptions Mgmt Fee block; use CHOOSE against the Active Scenario to select the applicable % of NPR-BD; compute Scenario 1 as % of NPR-BD × (Surgical Revenue − Bad Debt) zeroed during Pre-Close, Scenario 2 as MIN of Scenario 1 and a compounded fee cap (assumptions cap × (1 + escalator)^year less cumulative fees already paid in that year via SUMIFS on the year row), and Scenario 3 as the assumptions fixed fee × (1 + escalator)^year / 12; use CHOOSE against the Active Scenario to pick the active Mgmt Fee.
- Build the fee split and EBITDA rows in rows 72–74: split the active Mgmt Fee into Acquirer Mgmt Fee (active fee × Acquirer %) and Other Mgmt Fee (active fee × (1 − Acquirer %), overridden during Pre-Close to a hardcoded anchor of 0), and calculate EBITDA as EBITDAM less both mgmt fees.
- Build the KPIs block in rows 88–100: compute NPR/Case, Supplies/Case, and SWB/Case as Total Revenue/Supplies/SWB divided by Total Cases; compute Variable Direct/Case, Variable Indirect/Case, Rent/Case, and Fixed/Case using Surgical Cases as the denominator (with Variable Direct/Case seeded from the anchor and grown forward by the Variable Direct growth driver plus a Year-1 step-down from the assumptions); pull Acquirer/MD/Other % Equity from the assumptions equity block using Pre-Close vs. post-close columns; and drive Bad Debt % as the anchor Bad Debt/Revenue ratio during Pre-Close and the assumptions Bad Debt % otherwise.
- Build the Growth summary block in rows 103–111: for each monthly column compute Volume growth as Total Adjusted Cases vs. prior month, NPR/Case, Supplies/Case, SWB/Case, and Variable Direct/Case as their KPI vs. prior month, and pull Other Revenue, Variable Indirect, Rent, and Fixed growth from the assumptions growth grid via SUMIFS keyed on the month-count header.
- Build the ADJ TTM anchor column (column CC) for the P&amp;L, cost, and KPI rows: pull row-level TTM values for Surgical Cases, Surgical Revenue, Other Revenue, Supplies, SWB, Variable Direct, Variable Indirect, Rent, Fixed, Bad Debt, and Other Mgmt Fee from Adjusted Financials; hardcode RBO Fee, Integration Expenses, and each Mgmt Fee Scenario at 0; and derive Total Revenue as the sum of Surgical + Other, EBITDAM as Total Revenue less the operating cost stack, EBITDA as EBITDAM less mgmt fees, and the KPI/ratio rows from the same TTM cells.
- Build the annual rollup columns (CD:CH, Years 1–5) for each P&amp;L, cost, mgmt-fee, and KPI row by SUMIFS-ing the monthly strip against the Year header row for dollar lines, computing subtotals (Total Revenue, EBITDAM, EBITDA) as sums of their components, and computing KPI rows as the annual dollar ratios; add a CAGRs column (CI) computing 5-year CAGR as (Year 5 / ADJ TTM)^(1/5) − 1 wrapped in IFERROR returning "-".
- Build the historical/plan reference columns CM:CT for the same P&amp;L, cost, and KPI rows: pull the two historical years (CM, CN) from Adjusted Financials columns E and F; compute the close year (CO) as the sum of the YTD-to-Close and Close-Dec stub columns plus a linked pre-close pull; and compute forward plan years (CP:CT) via SUMIF against the Year header row for dollar lines, with subtotals summed from components and KPI rows computed as annual ratios.
- Build the stub-period columns CW:CY for the same P&amp;L, cost, and KPI rows: pull the current-year pre-close reference (CW) from Adjusted Financials column I; compute the YTD-to-Close stub (CX) as SUMIFS of the monthly strip filtered to "Pre-Close" periods in the close-year; compute the Close-Dec stub (CY) as SUMIFS of the monthly strip filtered to post-close periods (period counter &gt; 0) in the close-year; and roll subtotals from their components. Include a hardcoded 301356.1 seeded into the Year-1 close-year cell for each of the three Mgmt Fee Scenario rows and the active-scenario row.</t>
        </is>
      </c>
      <c r="H20" s="13" t="inlineStr">
        <is>
          <t>443385cc-42c6-486b-ac8e-fd8724d99160</t>
        </is>
      </c>
    </row>
    <row r="21" ht="300" customHeight="1">
      <c r="A21" s="13" t="inlineStr">
        <is>
          <t>69633abd</t>
        </is>
      </c>
      <c r="B21" s="12" t="inlineStr">
        <is>
          <t>APPROVE to generating_prompt.</t>
        </is>
      </c>
      <c r="C21" s="13" t="inlineStr">
        <is>
          <t>apathy@uchicago.edu</t>
        </is>
      </c>
      <c r="D21" s="13" t="n">
        <v>3137</v>
      </c>
      <c r="E21" s="13" t="n">
        <v>5529</v>
      </c>
      <c r="F21" s="12" t="inlineStr">
        <is>
          <t>Cleared Drivers.</t>
        </is>
      </c>
      <c r="G21" s="12" t="inlineStr">
        <is>
          <t>- On the Drivers tab, complete the annual roll-ups for the Subscription Services and Skills and Other revenue lines by summing the four quarterly columns into each annual column across the historical panel, then compute their Total Net Revenues as the sum of the two segments across every filled period and annual column.
- Build the per-line y/y growth (current period divided by same period one year prior, minus one, wrapped in an IFERROR/ISERROR guard) and q/q growth (current divided by prior period, minus one, same guard) for Subscription Services, Skills and Other, Total Net Revenues, and each downstream revenue line (Required Material GAAP, Total Cedarbrook Services, Organic Cedarbrook Services, Atlas Product 001, Total Revenue GAAP), extending them fully across the quarterly and annual columns.
- For the two segment lines and each revenue subtotal, add the % of Revenue line (segment divided by relevant total) and the % Seasonality line (each quarter divided by that year's annual column, absolute-referenced), plus the annual seasonality check as the sum of the four quarters; then add the 3-year average seasonality line as AVERAGE of the same quarter over the three prior years.
- Build the Vendor 001 GAAP adjustment block: Required Material (Non-GAAP Revenue) as the quarterly sum for annual columns; the Adjustment as if transition to Vendor 001 is complete row as Print Revenue + Digital Revenue − Total Revenue Non-GAAP for the historical quarters, and, in the forecast/annual columns, as GAAP − Non-GAAP; and Required Material (GAAP Revenue) as Adjustment + Non-GAAP for the historical quarters, quarter-sums in the annual columns, and, in the far-right forecast columns, prior-year same-quarter grown by the y/y growth driver.
- Build Total Cedarbrook Services (GAAP Revenue) as quarter-sum annuals, and populate forecast quarters as (Subscription Services subscribers × In Period Subscription Revenue Per Subscriber)/1000.
- Add the Atlas Product 001 revenue line: hardcode-based interpolation using totals of 19.7 and 29 to back-solve the intermediate quarters from a known anchor, plus a forecast start of prior quarter × (1 + q/q growth) × (13/90) and quarter-sum annuals; then build its % of Cedarbrook Services Revenue (dividing by Cedarbrook Study Content Views for early history, by Total Cedarbrook Services thereafter) and its % Seasonality (quarter divided by absolute-referenced annual).
- Build Organic Cedarbrook Services (GAAP Revenue) as Total Cedarbrook Services + Atlas for the historical annual columns and as Total Cedarbrook Services − Atlas from the transition column onward, then add its y/y growth, q/q growth, % of Revenue, and % Seasonality lines.
- Build the Cedarbrook Services subscribers and Subscription Services subscribers forecast lines as prior-year same-quarter × (1 + y/y growth driver), and populate their y/y and q/q growth calcs, plus Y/Y Adds (current − prior year same quarter), Q/Q Adds (current − prior quarter), and Growth fade (current-year y/y growth divided by prior-year y/y growth for the same quarter); set the terminal annual y/y growth drivers as the AVERAGE of the four constituent quarterly growths minus 0.015.
- Build the pricing/monetization block: Average Price Per Subscriber Per Month forecast pattern where Q1 = AVERAGE of prior and next annual price, Q2 and Q3 = the annual price, Q4 = 4 × annual − sum of Q1:Q3, with a +0.05 uplift added to the first forecast Q1; its y/y growth; Avg # Months Paid In Period Per Subscriber as In Period Revenue / Price for history and as prior-year same-quarter × (1 + y/y growth driver) for forecast quarters, with its y/y growth and a quarterly-carry roll (prior quarter reference) in the terminal annual columns; and In Period Subscription Revenue Per Subscriber as Cedarbrook Services / (subscribers/1000) for early history, as Subscription Services / (subscribers/1000) once Subscription Services becomes the reference, and as Months × Price in the forecast quarters, plus its Y/Y and q/q growth lines.
- Build Total Revenue (Non-GAAP Revenue) as Total Cedarbrook Services + Required Material Non-GAAP and the Vendor 001 Adjustment carry as = Adjustment row across the historical annual columns; build Total Revenue (GAAP Revenue) as Required Material GAAP + Organic Cedarbrook Services for the early columns and as Required Material GAAP + Total Cedarbrook Services from the transition column forward, then add its y/y growth, q/q growth, % Seasonality, and 3-year average seasonality lines.
- In the KPI block, add the Cedarbrook Study Content Views back-cast as annual/1.6 and its Y/Y growth as current/prior − 1.
- In the "Old segment" block, complete the annual quarter-sums, y/y growth, q/q growth, and % of Revenue lines for Print Revenue and Digital Revenue, and sum them into Total Revenue (Non-GAAP Revenue).
- In the "Old Revenue Breakup" block, complete the annual quarter-sums, y/y growth, q/q growth, and % of Revenue lines for Rental, Services, and Sales revenue, and the matching quarter-sums, y/y growth, and q/q growth lines for the Rental, Services, and Sales cost-of-revenue rows.
- Build the Gross Margin block for Rental, Services, and Sales as (revenue − cost of revenue)/revenue across the full quarterly and annual span, wrapped in IFERROR.
- Add the two trailing hardcoded quarter-share references 36/156 and 38/160 in the trailing forecast annual columns, and add the two hardcode-derived comparison lines 164.7/158.7 − 1 and 159.3/154.2 − 1 in the 3-year seasonality zone.</t>
        </is>
      </c>
      <c r="H21" s="13" t="inlineStr">
        <is>
          <t>69633abd-f051-404b-81ac-eff6a9593427</t>
        </is>
      </c>
    </row>
    <row r="22" ht="300" customHeight="1">
      <c r="A22" s="13" t="inlineStr">
        <is>
          <t>d010dfa4</t>
        </is>
      </c>
      <c r="B22" s="12" t="inlineStr">
        <is>
          <t>APPROVE to generating_prompt.</t>
        </is>
      </c>
      <c r="C22" s="13" t="inlineStr">
        <is>
          <t>mshuriah2702@gmail.com</t>
        </is>
      </c>
      <c r="D22" s="13" t="n">
        <v>3059</v>
      </c>
      <c r="E22" s="13" t="n">
        <v>9371</v>
      </c>
      <c r="F22" s="12" t="inlineStr">
        <is>
          <t xml:space="preserve">Removed non hardcoded assumptions within the Sensitivity section on the Valuation tab; removed TP and Upside columns in the Target Price section on the Valuation tab; removed non hardcoded assumptions and line items in the Market Cap, EV calculation, P/E, and EV/EBITDA blocks on the Valuation tab; removed non hardcoded assumptions and line items on the rest of the Valuation tab (Rev / EBITDA / EPS / CAGRs); Removed midpoint and change columns in the Guidance section on the Variance tab; removed Income Statement, Drivers, and Cash Flow Statement sections on the Variance tab; removed YoY, QoQ, Variance ($), and Variance (%) columns on the Variance tab; Removed historical actual quarter and annual columns on the Scenarios tab; Removed Totals, Debt Metrics Summary, and Check sections on the Debt tab; removed 2027E column on the Debt tab; removed Total Senior Secured Debt section on the Debt tab; removed non hardcoded assumptions on the Debt tab; removed dependent links to Net interest expense on the IS tab; removed remaining linked headers on the Debt tab </t>
        </is>
      </c>
      <c r="G22" s="12" t="inlineStr">
        <is>
          <t>- On the Debt tab, build the full recurring quarterly debt schedule for each of the five senior secured tranches (asset-based revolver, senior secured revolving credit facility, senior secured term loan facilities, senior secured notes, and other senior secured debt): for every projection column populate Beginning Balance as the prior column's Ending Balance, derive Borrowings/(Repayments) as Ending less Beginning, and calculate Interest Expense as the average of Beginning and Ending balance times the funds-drawn rate divided by 4; on quarter-total columns compute the interest rate as period interest divided by average balance (wrapped in IFERROR for the zero-balance revolver) and sum the four constituent quarters for the interest-expense total.
- On the Debt tab, insert a new "Total Senior secured debt" summary block that sums the five underlying tranches: Beginning Balance rolls the prior period, Ending Balance sums the five tranche endings across every column (historicals and projections), Borrowings/(Repayments) is Ending less Beginning, and Interest Expense sums the five tranche interest lines.
- On the Debt tab, shift the two unsecured blocks (Senior unsecured credit facility and Senior unsecured debt) down to accommodate the new Total Senior secured section and build the full recurring quarterly schedule for the Senior unsecured debt block: Beginning Balance from prior Ending, Issuance pulled from the CFS debt-issuance line, Borrowings/(Repayments) as Ending minus Beginning (with certain quarters sourced directly from the CFS repayment line), Other-Plug as Ending minus the sum of Beginning/Issuance/Borrowings, and Interest Expense on average balance times rate/4.
- On the Debt tab, extend the Debt issuance costs and discounts hardcoded row and the period-header row one column to the right to accommodate the added terminal-year column, and populate its hardcoded balance consistent with the surrounding series.
- On the Debt tab, add a new "Totals" section (below the tranche schedules) containing: period header (=IS row 4); Estimated Interest Expense as the sum of all tranche interest lines (historicals negate the sum, projections take the positive sum of the senior-secured total plus the two unsecured tranches); Actual Interest Expense pulled from the IS interest line; Delta as Actual minus Estimated; Total Borrowings/(Repayments) on Senior Debt summing the individual-tranche borrowings/issuances/plugs; Total Borrowings/(Repayments) on Revolver summing the two revolver borrowings lines; Ending LT Debt Balance (adjusted) net of debt issuance costs, computed as Total Senior secured + Senior unsecured + Senior unsecured credit facility + Debt issuance costs; Cash pulled from the BS cash row; Net Debt as adjusted LT Debt minus Cash; Net Leverage (LTM) and Debt to Adjusted EBITDA both dividing Net Debt / adjusted LT Debt by the trailing four quarters of IS EBITDA (with the LTM window rolling across the C… CD columns); a Guidance row containing the text "3-4x"; and a Check line computing prior Ending LT Debt + Senior Borrowings + Revolver Borrowings + change in debt issuance costs with a Difference line versus Ending LT Debt.
- On the Scenarios tab, expand the historical/period header area (rows 5–8) from a single quarter grouping (Q3, three-month cols C-F, prior grouping cols H-K) to a full multi-year grid spanning columns C through AF, with year-headers linked to IS row 3 at C5/H5/M5/R5/W5/AB5, quarter labels linked to IS row 4 across C6:AF6, period-end dates linked to IS row 5 across C7:AF7, and fiscal-year labels linked to IS row 6 for each quarter column.
- On the Scenarios tab, for each of the four revenue/expense/cash driver blocks (Equivalent Admissions, Rev per Equivalent Admission, Admissions, Inpatient Rev per Admission, Outpatient % of Total, Salaries &amp; benefits, Supplies, Other operating expenses, Share Buybacks), extend the "2 - Base" row so the historical columns C–V pull the same underlying driver/IS/CFS actual for every historical quarter (previously only the first and total quarter of each year were referenced), and shift the hardcoded base assumptions plus the Bull/Bear step formulas from the old projection columns D–L to the new projection window X–AF (Bull = Base + step, Bear = Base − step); keep the same net-new hardcodes for base values (0.00619, 0.0068, 0.435, 0.15, 0.21, −1500) and the same step hardcodes (0.0025, 0.005, 0.003, 0.004, 100) which now live in column AG instead of M.
- On the Scenarios tab, repoint the Share Buybacks base-case pulls in the early historical columns from the CFS row to the IS row 78 mapping for columns C–F, keeping the later columns pointed at CFS row 36.
- On the IS and Drivers tabs, update the CHOOSE(Scenarios!…) lookups that pick the Bull/Base/Bear driver value so each projection column points at the new column position in Scenarios (X through AE) instead of the old D through K, matching the shift of Bull/Bear rows on Scenarios.
- On the IS tab, add the new terminal-year column (row 26 interest breakdown): pull the four quarterly interest expenses from Debt row 68 for the new year and sum them for the annual column.
- On the Valuation tab, build a new financial-summary block above the existing share-price grid: for each of Revenue, Adj EBITDA, Net Earnings, Adj EPS, and Share count, populate every year column with an INDEX/MATCH lookup into the corresponding IS row (11, 19, 40, 50, 53) matched on the year header (row 2) against IS row 4; add two right-side columns (T2 "CAGR", U2 "CAGR_E") computing a 12-year historical CAGR (=(2024/2012)^(1/12)-1) and a 3-year forward CAGR (=(2027/2024)^(1/3)-1) for each metric.
- On the Valuation tab, add a Market Cap block (High/Low/Close = share price × share count for each year) and, immediately below, an EV block (Net Debt via INDEX/MATCH into BS rows 28, 25, 6 across historicals with the projection years flat-copying prior; Minority Interest via INDEX/MATCH into BS row 39; and EV High/Low/Close = Market Cap + Net Debt + Minority Interest per year).
- On the Valuation tab, add historical trailing-multiple grids (P/E High/Low/Close = current-year price / next-year Adj EPS; EV/EBITDA High/Low/Close = current-year EV / next-year Adj EBITDA), with a right-column average across all years in column T for each row.
- On the Valuation tab, restructure the "Target Price" summary into a three-column table (Multiple / TP / Upside) with rows for P/E (multiple 18) and EV/EBITDA (multiple 11); TP = multiple × forward EPS (P/E row) or (multiple × forward EBITDA − forecast Net Debt − forecast Minority Interest) / forecast share count (EV/EBITDA row); Upside = TP / forecast close price − 1.
- On the Valuation tab, replace the two skeletal sensitivity tables with fully populated P/E and EV/EBITDA sensitivity grids: multiple-headers spanning ±2 around the base multiple (16, 17, 18, 19, 20, 21, 22 for P/E; 9, 10, 11, 12, 13, 14, 15 for EV/EBITDA); left-column EPS/EBITDA growth adjustments of −0.2, −0.1, 0, 0.1, 0.2; TP cells = multiple × forward EPS × (1+growth) for P/E, or (multiple × forward EBITDA × (1+growth) − forecast Net Debt − forecast Minority Interest) / forecast shares for EV/EBITDA; and mirrored Return grids to the right computing TP / forecast close price − 1.
- On the Variance tab, replace the small guidance-only table with a comprehensive Earnings Variance Analysis: add column headers G3 "YoY", H3 "QoQ", I3 "Variance ($)", J3 "Variance (%)"; add an "INCOME STATEMENT" section (rows 4–26) with lines for Outpatient Revenue, Inpatient Revenue, Other Revenue, Net Services Revenue, Patient care costs (ex. D&amp;A), Salaries and benefits, Supplies, Other operating expenses, Adjusted EBITDA, Adjusted EBITDA margin (%), Depreciation and amortization, Net Interest expense, Adjusted Pre-Tax Earnings, Income Tax Benefit/(provision) — GAAP, Net income attributable to NCI, Net Earnings (Non-GAAP), EPS (Non-GAAP), Net Earnings (GAAP), EPS (GAAP), Wtd. Avg. Shares Outstanding (Diluted); for each row populate columns B (1Q26A), C (1Q25A), D (4Q25A), E (1Q26E) via INDEX/MATCH into the IS tab matched on the quarter headers, and compute G = B/C−1 (YoY), H = B/D−1 (QoQ), I = B−E ($ variance), J = B/E−1 (% variance) — for margin/percent rows use subtraction instead of ratio.
- On the Variance tab, add a "DRIVERS" section (rows 28–33) with Equivalent Admissions, Rev per Equivalent Admission, Admissions, Inpatient Rev per Admission, and Outpatient Revenues as a % of Patient Revenues — same B/C/D/E INDEX/MATCH pulls (into Drivers or IS) and same YoY/QoQ/$/% variance calculations.
- On the Variance tab, add a "CASH FLOW STATEMENT" section (rows 35–40) with Cash Flows from Operations, Investing, Financing, Unlevered Free Cash Flow, and Levered Free Cash Flow — INDEX/MATCH pulls from the CFS tab and same variance columns.
- On the Variance tab, add a new "GUIDANCE" block (rows 42–52) that reformats the original Previous/Updated guidance table by adding a Midpoint column (=AVERAGE(low, high)) for both Previous and Updated groups, plus a "CHANGE" group with Low/High/Midpoint columns computing Updated/Previous − 1 for each of the same nine guidance line items (Net Services Revenue, Net Earnings GAAP, D&amp;A, Interest expense, Provision for income taxes, Net income attributable to NCI, Adjusted EBITDA, EPS GAAP, Wtd. Avg. Shares Outstanding).</t>
        </is>
      </c>
      <c r="H22" s="13" t="inlineStr">
        <is>
          <t>d010dfa4-e4d0-42a5-a7f6-a3ef1e58e0e9</t>
        </is>
      </c>
    </row>
    <row r="23" ht="300" customHeight="1">
      <c r="A23" s="13" t="inlineStr">
        <is>
          <t>c4ed90cb</t>
        </is>
      </c>
      <c r="B23" s="12" t="inlineStr">
        <is>
          <t>APPROVE to generating_prompt.</t>
        </is>
      </c>
      <c r="C23" s="13" t="inlineStr">
        <is>
          <t>apathy@uchicago.edu</t>
        </is>
      </c>
      <c r="D23" s="13" t="n">
        <v>2828</v>
      </c>
      <c r="E23" s="13" t="n">
        <v>6005</v>
      </c>
      <c r="F23" s="12" t="inlineStr">
        <is>
          <t>Cleared Cedarbrook Cash Flow, Balance Sheet.</t>
        </is>
      </c>
      <c r="G23" s="12" t="inlineStr">
        <is>
          <t>- On Cedarbrook Cash Flow, add the header/date scaffolding above the existing month index: a title link pulling the deal name from I&amp;A, a monthly date row driven off Pro Forma's monthly date header, and a year-derived row calculated as YEAR() of the date row.
- On Cedarbrook Cash Flow, build the "Unlevered Cash Flows" section beginning with Pre-Tax Net Income sourced from Pro Forma (with the first period combining the two pre-ops columns), then ADD-back lines for Interest Expense (Facility Debt), Depreciation on New Assets, and Depreciation on Incremental CapEx (all from Pro Forma), a LESS line for CapEx pulled as the negative of Fee &amp; Debt Schedules CapEx, and a LESS line for Δ Working Capital hardcoded to 0; sum these into "Facility Pre Tax Cash Flow From Operations."
- Below that, add the Cedarbrook Ownership % driver row (linked to Pro Forma row 78), multiply Facility Pre-Tax CF by ownership to get "Cedarbrook Pre Tax Cash Flow From Operations," then a LESS Cedarbrook Taxes line computed as IF((PreTaxNI+Interest)×TaxRate×Ownership&lt;0, 0, (PreTaxNI+Interest)×-TaxRate×Ownership) with the tax rate pulled from I&amp;A cell D425, and sum to "Cedarbrook After Tax Cash Flow From Operations."
- Add the Development Fee sub-block: Cedarbrook Development Fee — Gross (sum of Pro Forma pre-ops + month 1 dev-fee cells, populated only in the first period), Cedarbrook Development Fee Expense (linked to I&amp;A E398, first period only), and a subtotal "Cedarbrook Mgmt Fee Profit / (Loss)" summing the two.
- Add the Management Fee sub-block: Cedarbrook Mgmt Fee — Gross linked to Pro Forma row 63, Cedarbrook Mgmt Fee Expense computed as -I&amp;A D413 / 12 for every month, subtotal "Cedarbrook Pre Tax Mgmt Fee Profit / (Loss)," a LESS Taxes on Mgmt Fee Profits line computed as IF(profit&lt;0, 0, profit × -I&amp;A D425), and "Cedarbrook After Tax Mgmt Fee Profit / (Loss)."
- Roll the three streams into "Cedarbrook After Tax Total Cash Flow (Unlevered)" = After-Tax Ops CF + Dev Fee P/L + After-Tax Mgmt Fee P/L.
- Add the parallel "Facility Levered Cash Flows" section: Pre-Tax Net Income (same source), a LESS Debt Principal Payments line combining Fee &amp; Debt Schedules rows 31, 39, and 47 (Construction Loan + Equipment Loan + Line of Credit), ADD-back Depreciation on New Assets and Incremental CapEx, LESS CapEx, and a Δ Working Capital line that plugs any negative subtotal (IF(SUM&lt;0, -SUM, 0)); sum to "Facility Pre Tax Cash Flow From Operations."
- Add the Cedarbrook Ownership row, multiply for "Cedarbrook Pre Tax Cash Flow From Operations," add the Cedarbrook Taxes line here computed on Pre-Tax NI only (excluding interest addback) × -I&amp;A D425 × ownership with the same negative-guard IF, and produce "Cedarbrook After Cash Flow From Operations."
- Repeat the Development Fee and Management Fee sub-blocks identically to the unlevered section, then roll all three streams into "Cedarbrook After Tax Total Cash Flow (Facility Levered)."
- Add an annual roll-up block in columns BN:BR (years 1–5) with a year-header row and SUMIF formulas keyed off the year-index row 2 for every monthly line item, using SUM for calculated subtotals (Facility Pre-Tax CF, Facility Levered Pre-Tax CF) and re-computing the ownership-multiplied and combined-total rows at the annual grain.
- Add a CAGR column (BT) alongside the annual roll-up computing IFERROR(ROUND(POWER(Yr5/Yr1, 1/4)-1, 3), "N/A") for each subtotal and total row (Facility Pre-Tax CF, Cedarbrook Pre-Tax CF, Unlevered After-Tax Total, Facility Levered Pre-Tax CF, Cedarbrook Pre-Tax Levered CF, Levered After-Tax Total).
- On Balance Sheet, add the header scaffolding: title link to I&amp;A deal name, a monthly date row starting from I&amp;A E13 and incremented by DATE(YEAR,MONTH+1,1), and a "Pre-Ops" period-label column C sitting to the left of period 1.
- Build the ASSETS block on Balance Sheet: Current Assets = Cash (pulled from Cash Collection &amp; Distribution row 50) and Accounts Receivable, net (Pre-Ops = 0; then rolling as prior AR + Cash Collection &amp; Distribution billings row 8 − collections row 18); subtotal Total Current Assets.
- Build Fixed Assets: Land held constant from I&amp;A G137; Leasehold Improvements initialized in Pre-Ops as I&amp;A F83 plus the three CC32/CC40/CC48 loan-fee capitalizations from Fee &amp; Debt Schedules, less I&amp;A G146 (lease incentive), less Pro Forma R72, less Land, then held flat; Equipment initialized at I&amp;A F84 and reduced each period by Cash Collection &amp; Distribution row 29; Less Accumulated Amortization rolling forward from Pro Forma R71 by Pro Forma row 71; Less Accumulated Depreciation rolling forward from Pro Forma R69+R70 by monthly (row 69 + row 70); subtotal Net Fixed Assets and Total Assets.
- Build the LIABILITIES block: Current Liabilities = Accounts Payable (Pre-Ops = 0; monthly = 50% of the sum of Pro Forma expense rows 49:53, 55, 56, and 61:64), Line of Credit (from Cash Collection &amp; Distribution row 41, offset one period), Interest Payable LOC (from Fee &amp; Debt Schedules row 48 with pre-ops = column CC), and Current Portion Long-Term Debt (IF(-Cash Collection &amp; Distribution row 35 &gt; 0, that amount, 0)); subtotal Total Current Liabilities.
- Add Long Term Liabilities: Construction Loan (Fee &amp; Debt Schedules row 34), Equipment Loan (Fee &amp; Debt Schedules row 42), and Lease Incentive Obligation (Pre-Ops = -I&amp;A G146; rolling as fixed pre-ops value + accumulated amortization row 15); subtotal Total Long Term Liabilities.
- Add STOCKHOLDERS' EQUITY: Capital Contribution held flat from Pre-Ops calculated as I&amp;A H86 less (I&amp;A E119 + E120 + E121); Retained Earnings rolling from Pro Forma R73 by monthly row 73; Distributions rolling from Cash Collection &amp; Distribution row 49; subtotal Total Stockholders' Equity, then Total Liabilities &amp; Stockholders' Equity = Current Liab + LT Liab + Equity.
- Add the balance-check block at the bottom: DIFFERENCE = ROUND(Total Assets − Total L&amp;E, 2) and BALANCE CHECK = IF(DIFFERENCE = 0, "OK", "CHECK") for every period column including Pre-Ops.</t>
        </is>
      </c>
      <c r="H23" s="13" t="inlineStr">
        <is>
          <t>c4ed90cb-4e82-408b-82fa-f52a782f72d3</t>
        </is>
      </c>
    </row>
    <row r="24" ht="300" customHeight="1">
      <c r="A24" s="13" t="inlineStr">
        <is>
          <t>cfb56338</t>
        </is>
      </c>
      <c r="B24" s="12" t="inlineStr">
        <is>
          <t>APPROVE to generating_prompt.</t>
        </is>
      </c>
      <c r="C24" s="13" t="inlineStr">
        <is>
          <t>mshuriah2702@gmail.com</t>
        </is>
      </c>
      <c r="D24" s="13" t="n">
        <v>2606</v>
      </c>
      <c r="E24" s="13" t="n">
        <v>5506</v>
      </c>
      <c r="F24" s="12" t="inlineStr">
        <is>
          <t xml:space="preserve">Removed non hardcoded assumptions within the Balance Sheet Drivers and Balance Sheet on the BS tab; removed linked formula headers on the BS tab; Removed dependent calculations on the IS tab (Interest Expense % of Debt) </t>
        </is>
      </c>
      <c r="G24" s="12" t="inlineStr">
        <is>
          <t>- Extend the BS "Balance Sheet Drivers" block across all historical quarters and the annual roll-up columns: populate Days in period as the day-count between period-end dates on the IS date row (quarterly annual sums itself), COGS per day pulled from an IS annual figure divided by 365 (with the 4× conversion when derived from a quarterly cell), Days Receivable as AR ÷ quarterly-annualized revenue × Days, Days Inventory as Inventory ÷ COGS-per-day, Other Current Assets as % of quarterly-annualized revenue, Days Payable as AP ÷ quarterly-annualized COGS × Days, and Accrued Salaries and Other Accrued Expenses each as % of quarterly-annualized revenue; annual columns are the sum of their four constituent quarters for Days, and the simple average of the four quarters for the ratio/days-metric rows.
- Extend the BS D&amp;A driver block for all historicals and annual columns: bring Depreciation Expense from the IS D&amp;A line for annuals, split into quarterly cells as one-quarter of the annual, compute Amortization Expense for annual columns as IS total D&amp;A minus BS Depreciation Expense (with quarters as one-quarter of the annual), and compute Depreciation Expense as % of Revenue for every period.
- Extend the BS PP&amp;E schedule across historicals, historical annual columns, and all forecast columns: Beginning PPE from prior-period Ending PPE (from prior annual for the first-quarter cells); Less Depreciation from the D&amp;A driver; historical M&amp;A/Others as a plug (Ending PPE − Beginning PPE − Depreciation − CapEx), forecast M&amp;A/Others hardcoded 0; historical Total CapEx from CFS CapEx line (as a negative sign flip), forecast Total CapEx from Guidance CapEx % × IS revenue; Total CapEx % of Revenues as CapEx ÷ Revenue for annuals and forecasts; historical Ending PPE as gross PPE + Accumulated Depreciation, forecast Ending PPE as Beginning + Depreciation + CapEx + M&amp;A, and quarterly annual column as the 4Q ending value.
- Extend the BS Intangible Assets schedule across historicals, annual columns, and forecasts: Beginning Intangibles from prior-period Ending; historical Amortization as negative of the D&amp;A driver amortization line; historical M&amp;A/Others as a plug (Ending Intangibles − Beginning − Amortization); historical Ending Intangibles pulled from the BS Goodwill/Intangibles line; forecast Ending Intangibles as Beginning + Amortization + M&amp;A; annual columns sum quarterly Amortization and M&amp;A and pull the 4Q ending balance for Ending Intangibles.
- Build the BS M&amp;A allocation block: for every historical quarter (except pre-populated ones) and every forecast quarter, insert a Spend/(Sale) value of 0, add an annual-column Spend/(Sale) formula summing the four quarters, and compute PP&amp;E, Goodwill, and Intangible allocation rows as their allocation-% row × Spend/(Sale) for every populated quarter.
- Build all historical annual roll-up columns for the BS body itself: for every asset, liability, and equity line, the annual column equals the 4Q ending value; recompute Total Current Assets, Total Assets, Total Current Liabilities, Total Liabilities, and Total L&amp;SE as SUM of their component ranges for the first annual column, and pull the 4Q value for subsequent annuals; add a check row equal to Total Assets − Total L&amp;SE (annual-column formula referencing the IS SBC/other line for early annuals and switching to the direct Assets − L&amp;SE difference for later annuals).
- Build the BS forecast columns (BV onward, i.e., forecast quarters and forecast annuals) for every operating line: Cash from the CFS ending-cash line (annual = 4Q value); AR as Days Receivable ÷ Days × Revenue; Inventory as Days Inventory × COGS-per-day; Other Current Assets as % of quarterly-annualized revenue; PP&amp;E-at-cost as Ending PPE − Accumulated Depreciation; Accumulated Depreciation rolled from prior period less current-period depreciation; Goodwill &amp; Intangibles rolled from prior less amortization less CFS acquisition and other lines; Other Assets rolled from prior less two CFS lines; AP as Days Payable ÷ Days × COGS; Accrued Salaries and Other Accrued Expenses each as their % driver × quarterly-annualized revenue; Long-term Debt built from prior-period balance + CFS financing lines (issuance, repayment, other) + change in current portion + amortization of financing costs; static roll-forwards (equal prior period) for Insurance Investments, Investments in affiliates, ROU lease assets, Current portion of LTD, Professional liability, Operating lease liabilities, Income taxes/other, Other Long-Term Liabilities, and Common Equity; equity roll-forwards adding the relevant CFS line — AOCI + CFS other comprehensive, Retained Earnings + CFS net income + CFS dividends, NCI + CFS NCI, Additional Paid-in Capital + CFS stock issuance, Treasury Stock + CFS buybacks; recompute all subtotals (Total Current Assets, Total Assets, Total Current Liabilities, Total Liabilities, Total L&amp;SE) as SUM ranges; add a balance-check row equal to Total Assets − Total L&amp;SE across all forecast columns.
- Add the Interest Expense % of Debt driver row to the IS % ratios block: for every quarter, 4 × Interest Expense ÷ (Current portion of LTD + Long-term Debt); for annual columns, the same ratio without the 4× annualization.
- On the Debt tab, add the implied interest-rate calc for the Senior secured asset-based revolving credit facility for the first forecast annual column: Interest Expense ÷ AVERAGE(current annual ending balance, prior annual ending balance), wrapped in IFERROR returning "".</t>
        </is>
      </c>
      <c r="H24" s="13" t="inlineStr">
        <is>
          <t>cfb56338-4a27-42d5-9e0d-9e59b2fa8640</t>
        </is>
      </c>
    </row>
    <row r="25" ht="300" customHeight="1">
      <c r="A25" s="13" t="inlineStr">
        <is>
          <t>1998a617</t>
        </is>
      </c>
      <c r="B25" s="12" t="inlineStr">
        <is>
          <t>APPROVE to generating_prompt.</t>
        </is>
      </c>
      <c r="C25" s="13" t="inlineStr">
        <is>
          <t>nimisha.mekala2021@gmail.com</t>
        </is>
      </c>
      <c r="D25" s="13" t="n">
        <v>1856</v>
      </c>
      <c r="E25" s="13" t="n">
        <v>8355</v>
      </c>
      <c r="F25" s="12" t="inlineStr">
        <is>
          <t>This transition constructs the model's spine — the merged pro-forma statement that pulls monthly volume, Year-1 revenue, capex/depreciation, and all three debt/lease schedules into a single consolidated operating and cash forecast for the combined entity.</t>
        </is>
      </c>
      <c r="G25" s="12" t="inlineStr">
        <is>
          <t>- On the Historical Volume tab, build a monthly seasonalization block for the first facility (rows 6–15, columns AE–AQ): create an even-month allocation driver at row 15 as TTM cases divided evenly by 12 per month (linked from Pro Forma total cases), then spread each specialty's annual cases across the 12 months as annual specialty cases × monthly driver, sum each specialty row across the 12 months in the AQ column, and add a % of total column (AD) as specialty monthly total divided by the grand total.
- On the Monthly Volume Summary tab, add the historical monthly volume row for the facility (row 10, cols J–U) by HLOOKUP of each month header against the Historical Volume monthly matrix (returning row 11), and total in column V; add the Volume Per Work Day metric (row 15) as monthly volume ÷ monthly work days, with the annual as total ÷ total; add the projected Standard Volume Growth driver row (row 22) seeded in J from Inputs &amp; Assumptions organic case-volume % and held flat across the 12 months, and a Total Volume Growth row (row 23) that sums the growth drivers per month.
- On the Inputs &amp; Assumptions tab, complete the total-facility count formula in I11 (sum of column I ownership flags), and wire the Worst Case scenario driver (G120) to compute -('Physician Total' line 8 / P&amp;L TTM base × P&amp;L period base) ÷ Pro Forma Year 1 cases, and the Year 2 NPR-per-case growth override (G124) as Pro Forma Year 2 NPR/case ÷ Year 1 NPR/case − 1.
- On the Inputs &amp; Assumptions Acquisition block (rows 46–49), pull TTM EBITDA per facility from Pro Forma (H36 and M36), sum for the Unlevered column, propagate to Facility Level and Enterprise Levered columns, hardcode Seller Multiple of 8 for each facility, and compute Enterprise Value = TTM EBITDA × Seller Multiple.
- On the Inputs &amp; Assumptions Capitalization block, add the Enterprise-Levered multiple of NSP Year 1 Unlevered E-NCI in M79 as NSP Total Debt Capital ÷ Pro Forma Year 1 E-NCI; populate the Year 1 Buyer Multiple row (K87:M87) as an IF on the Pro Forma Accounting Method switch selecting the Consolidated or Non-Consolidated buyer multiple from Pro Forma; set the Exit Multiple pull (I91) from that Year 1 buyer multiple; and pull NSP E-NCI Year 5 (I98) from Pro Forma Year 5 E-NCI.
- On the Pro Forma tab, build the historical/normalized columns for every P&amp;L line (Net Patient Revenue, Other Revenue, SWB, Supplies, Other Variable Direct/Indirect, Rent, Other Fixed, Bad Debt, Current Mgmt Fee, D&amp;A existing, Net Interest Facility Debt, Other Expense/Income) as VLOOKUPs against the P&amp;L tab for each of columns D–H (Facility 1 history and TTM), J–M (Facility 2 history, TTM and Normalized), and T (Alpha Normalized Merged); combined-facility columns O–R as sum of the two facility columns; and Proposed Synergies column S as T − R.
- On the Pro Forma tab, build the Year 1 monthly projection columns (U–AF) for each revenue/expense line: Net Patient Revenue = monthly cases × monthly NPR/case; Other Revenue = TTM/12 × (1+Other Revenue growth); SWB, Supplies, Other Variable Direct = monthly cases × per-case rate; Other Variable Indirect and Other Fixed = TTM/12 × (1+% growth); Rent = IF operating-lease switch then TTM/12 × (1+growth) else 0; Bad Debt = Total Net Revenue × Bad Debt % driver; RBO Fee = (Net Revenue − Bad Debt) × RBO %; Integration Expenses = Inputs F133 ÷ 6 for the first six months and 0 thereafter; column AG totals each row as SUM(U:AF). Repeat the identical monthly build for Year 2 (columns AH–AS with total in AT) using the prior-year total as the growth base.
- On the Pro Forma tab, build the annual Year 3–Year 5 projection columns (AU–AW) for the same revenue/expense lines using prior-year × (1+annual driver), with Rent Year 3 blended as ((prior×(1+rent%))×7/12) + ((TTM×(1+4.5%))×5/12) and hardcode 4.5% for the mid-year rent step; add the 5-Year CAGR column (AY) as (Year 5 / TTM)^(1/5) − 1 wrapped in an ISERROR guard on each line.
- On the Pro Forma tab, add the Management Fee schedule: Current Mgmt Fee historical only, NSP Mgmt Fee monthly/annual = IF Inputs cap is "N/A" then (NPR − Bad Debt) × NSP mgmt fee %, else MIN of that amount and the remaining annual cap from Inputs (I25/I26/I27/I28/I29 by year), Other Mgmt Fee = (Net Revenue − Bad Debt) × Other mgmt fee %; then build subtotal rows EBITDAM (Net Revenue − opex block SUM 19:27) and EBITDA (EBITDAM − mgmt fees), and the Facility Pre-Tax Income row = EBITDA − D&amp;A (existing) − D&amp;A (incremental capex) − D&amp;A (capital lease) − Facility Debt Interest − Capital Lease Interest − Other Expense.
- On the Pro Forma tab, wire the D&amp;A and interest source rows: D&amp;A Existing Assets from CapEx &amp; Depreciation E31/F31 divided by 12 monthly (holds flat Y1/Y2) and annual G31–I31 for Y3–Y5; D&amp;A Incremental CapEx from CapEx &amp; Depreciation E23/F23/G23–I23 on the same monthly/annual pattern; D&amp;A Capital Lease from Capital Lease Amortization schedule Z80/AA80/AB80; Interest Facility Debt from Existing Facility Debt Schedule K18–K29, L30–L41 monthly and M79/N79/O79 annual; Interest Capital Lease from Capital Lease Amortization N80/O80/P80.
- On the Pro Forma tab, build the NCI and NSP economics stack: NCI (Non NSP Interest) = Facility Pre-Tax × (1 − NSP ownership %); NSP Adjusted Net Income = IF Consolidated then Facility Pre-Tax − D&amp;A existing − D&amp;A incremental − Facility Debt Interest, else Facility Pre-Tax × NSP ownership %; then the [C] Consolidated stack — EBITDAM = row 29, LESS NCI = row 49, LESS Overhead = Inputs I34/12 monthly / I32 annual, NSP E-NCI [C] Facility Levered = EBITDAM − NCI − Overhead; and the [E] Non-Consolidated stack — NSP Equity Income = Facility Pre-Tax × NSP ownership %, ADD NSP Mgmt Fee Income = row 33, LESS Overhead, NSP E-NCI [E] Facility Levered = IF NSP ownership &gt; 0 then Equity Income + Mgmt Fee Income − Overhead else 0.
- On the Pro Forma tab, add the Buyer Multiple rows for both stacks (row 67 Consolidated and row 75 Non-Consolidated) as IFERROR of Inputs L84 total capital purchase price divided by the respective E-NCI, and add the selector rows 51–53 (E-NCI, Buyer Multiple, NSP Adjusted Net Income) that pick between the Consolidated and Non-Consolidated stack based on the Inputs C11 Accounting Method switch, with a 4-year CAGR from Year 1 to Year 5.
- On the Pro Forma tab, build the Metrics &amp; KPIs block (rows 79–88): EBITDAM Margin, EBITDA Margin, NPR/Case, Other Revenue/Case, SWB/Case, Supplies/Case, Other Variable Direct/Case, Other Variable Indirect/Case, Other Fixed/Case, Bad Debt / Net Revenue, with Year 1 monthly NPR/Case, SWB/Case and Supplies/Case computed from the Year 1 Revenue Calc weighted blend of the two facilities and Year 2+ monthlies held flat at Year 1 × (1+growth); include 5-Year CAGR in AY where meaningful.
- On the Pro Forma tab, build the Assumptions block (rows 91–132): Ownership (Physician / NSP / Other) linked to Inputs I6/I8 with Other = 1 − Physician − NSP and totals summing to 1; Case Volume % ∆, NPR/Case % ∆, Other Revenue % ∆, SWB / Supplies / Other Variable Direct per-case % ∆, Other Variable Indirect / Rent / Other Fixed % ∆, Bad Debt % of Net Revenue, RBO Fee %, NSP Mgmt Fee %, Other Mgmt Fee %, and NSP Tax Rate — each Year 1 monthly held constant from the Inputs F-column driver, and Year 2+ pulled from Inputs columns G–J, with the AG/AT actuals calculated as ratios of the corresponding P&amp;L lines.
- On the NSP Cash Flow &amp; IRR tab, add the ADD-back Interest Expense Facility Debt row (row 21) as monthly array formula in AI21 populating zeros through the Year 1 months with AU21 subtotal, then Year 2–Year 5 as −Existing Facility Debt Schedule R79/S79/T79/U79; mirror the same row in the second-block starting at BJ21/BV21/BW21–BZ21 with the same debt-schedule references.
- On the NSP Cash Flow &amp; IRR tab, add the annual NSP tax rows in AU45:AY45 (NSP Taxes on Facility Earnings = −(Facility Pre-Tax × NSP ownership × NSP tax rate)) and AU46:AY46 (NSP Taxes on Mgmt Fee Profit = IF Mgmt Fee profit &lt; 0 then 0 else −(Mgmt Fee profit × NSP tax rate)), pulling ownership and tax-rate drivers from the corresponding Pro Forma annual columns.
- On the NSP Cash Flow &amp; IRR tab, populate the Terminal Value header label in C60/AD60/BG60 as a concatenated string "Terminal Value -- Exit Multiple = " &amp; Inputs I92 formatted as "#.0x" &amp; the Pro Forma B51 E-NCI label &amp; " (Year 5)".</t>
        </is>
      </c>
      <c r="H25" s="13" t="inlineStr">
        <is>
          <t>1998a617-9037-46d2-912b-adfdb4441444</t>
        </is>
      </c>
    </row>
    <row r="26" ht="300" customHeight="1">
      <c r="A26" s="13" t="inlineStr">
        <is>
          <t>5da033e5</t>
        </is>
      </c>
      <c r="B26" s="12" t="inlineStr">
        <is>
          <t>APPROVE to generating_prompt.</t>
        </is>
      </c>
      <c r="C26" s="13" t="inlineStr">
        <is>
          <t>wangche2532@gmail.com</t>
        </is>
      </c>
      <c r="D26" s="13" t="n">
        <v>1645</v>
      </c>
      <c r="E26" s="13" t="n">
        <v>4421</v>
      </c>
      <c r="F26" s="12" t="inlineStr">
        <is>
          <t>Delete tabs: Pro Forma, CapEx &amp; Depreciation, Existing Facility Debt Schedule, Capital Lease Amortization
Clear content: Inputs &amp; Assumptions!F141:J141</t>
        </is>
      </c>
      <c r="G26" s="12" t="inlineStr">
        <is>
          <t>- On Inputs &amp; Assumptions, add a new "Incremental CapEx Assumptions" driver block with a "CapEx (5 year Depreciable Life)" line carrying an annual CapEx hardcode of 100,000 across Years 1–5 (Year 1 sourced from the Pro Forma tab and Years 2–5 rolling forward from Year 1) and a Depreciation Period of 5 years; the existing debt, capital lease, and D&amp;A discount driver blocks are already in place and simply feed the new schedules.
- Build the Existing Facility Debt Schedule tab as a 60-month monthly amortization table that pulls its principal, repayment terms (Interest Only vs. Principal &amp; Interest toggle), month count, interest rate, and start date from the Inputs &amp; Assumptions debt block; calculate a monthly payment via a PMT/interest-only conditional, then roll starting balance → principal payment → interest payment (max of balance × rate/12, floored at zero) → total payment (capped by scheduled payment) → ending balance for each month, tag each month to a Year 1–5 bucket, and sum annual interest expense and annual principal payment by year at the bottom.
- Build the Capital Lease Amortization tab with the same 60-month monthly amortization mechanics as the debt schedule but driven by the capital lease inputs (principal, months, interest rate, start date) from Inputs &amp; Assumptions and a standard PMT-derived payment (no repayment-terms toggle); include the same Year 1–5 interest-expense and principal-payment bucketing and annual sum row.
- Build the CapEx &amp; Depreciation tab with two blocks: (i) an Incremental CapEx block that pulls the annual CapEx by category from the new Inputs &amp; Assumptions CapEx line and its depreciation period, laid out as a vintage-by-year triangular depreciation schedule (each year's CapEx divided by the depreciation period, replicated across its useful life) with a total annual incremental depreciation sum row; and (ii) an Existing D&amp;A block that takes TTM D&amp;A from the Pro Forma tab, applies the Annual D&amp;A Discount hardcode (-20%) from Inputs &amp; Assumptions to compute an annual reduction, and rolls a Pro Forma D&amp;A (Existing Assets) forward by adding that reduction each year.
- Build the Pro Forma tab as the consolidated 5-year forecast for the facility: pull historical columns (Surgical Cases, Net Patient Revenue, Other Revenue, SWB, Supplies, Other Variable Expenses, Rent, Other Fixed Expenses, Bad Debt, Current/Meridian/Other Mgmt Fees, D&amp;A, Net Interest Expense, Other Expense) from the IS tab, compute a TTM column as prior-year + latest stub − prior stub, then project Years 1–5 driven by the assumptions section below.
- Within Pro Forma, build the Assumptions block (rows ~90–129) that surfaces Ownership %, Organic Case Volume % Δ, Net Patient Revenue per Case % Δ, Other Revenue % Δ, SWB/Supplies/Other Variable per-case % Δ, Rent and Other Fixed % Δ, Bad Debt as % of Net Revenue, Current/Meridian/Other Mgmt Fee as % of (NPR − Bad Debt), and Meridian Tax Rate — historicals derived from actuals and forecasts linked directly to the Inputs &amp; Assumptions driver rows.
- Within Pro Forma, build the Facility Metrics block (rows ~80–87): EBITDAM Margin, EBITDA Margin, Net Patient Revenue/Case, SWB/Case, Supplies/Case, Other Variable/Case, Other Fixed/Case, and Bad Debt as % of Net Revenue, computed for both historicals and the 5-year forecast, with 5-year CAGR outputs alongside the per-line P&amp;L rows.
- Within Pro Forma, build the forecast logic layering the drivers into the P&amp;L: Surgical Cases grow by Organic Case Volume % Δ; Net Patient Revenue, SWB, Supplies, and Other Variable Expenses = per-case metric × cases (per-case metric grows year-over-year by its own % Δ driver); Other Revenue, Rent, and Other Fixed grow directly by their % Δ; Bad Debt = % of Net Revenue × Total Net Revenue; Mgmt Fees = respective % × (NPR − Bad Debt); D&amp;A (Existing) pulls from CapEx &amp; Depreciation Pro Forma D&amp;A row; D&amp;A (Incremental) pulls from CapEx &amp; Depreciation incremental depreciation row; Net Interest Expense (Facility Debt) pulls from the Existing Facility Debt Schedule annual interest totals; Other Expense hardcoded to 0 in the forecast years; Total Net Revenue, EBITDAM, EBITDA, and Facility Pre-Tax Income roll up by subtotal, with a per-column IS-reconciliation check row against IS!P21:U21.
- On OUTPUT - PP Statistics, rewire the single cell at row 20 to pull from the newly built Pro Forma tab (Pro Forma!I6, i.e., the TTM period label).</t>
        </is>
      </c>
      <c r="H26" s="13" t="inlineStr">
        <is>
          <t>5da033e5-0b26-4526-afaf-8e71e57612a4</t>
        </is>
      </c>
    </row>
    <row r="27" ht="300" customHeight="1">
      <c r="A27" s="13" t="inlineStr">
        <is>
          <t>27b833b2</t>
        </is>
      </c>
      <c r="B27" s="12" t="inlineStr">
        <is>
          <t>APPROVE to generating_prompt.</t>
        </is>
      </c>
      <c r="C27" s="13" t="inlineStr">
        <is>
          <t>mshuriah2702@gmail.com</t>
        </is>
      </c>
      <c r="D27" s="13" t="n">
        <v>1645</v>
      </c>
      <c r="E27" s="13" t="n">
        <v>6379</v>
      </c>
      <c r="F27" s="12" t="inlineStr">
        <is>
          <t>Removed formulas within the Cash Flow Metrics section on the CFS tab; removed non hardcoded assumptions on the Cash Flow Statement section; Removed dependent Shares Issued, EPS calculations, Diluted EPS Y/y Growth and Shares outstanding calculations for projection periods on the IS tab</t>
        </is>
      </c>
      <c r="G27" s="12" t="inlineStr">
        <is>
          <t>- On the IS tab, extend the diluted weighted-average shares outstanding line into 2026 and 2027 by computing each forecast quarter as the prior-quarter diluted share balance scaled by the ratio of the new-quarter basic share balance to the prior-quarter basic balance, and set each FY total as the average of its four quarters.
- On the IS tab, extend the period-end basic shares outstanding line into 2026 and 2027 by rolling the prior period-end balance forward each quarter with net shares issued, and setting the FY column equal to the Q4 period-end.
- On the IS tab, extend the shares issued line into 2026 and 2027 forecast quarters by pulling net share issuance/repurchase from the CFS (purchase of common stock divided by the share repurchase price), leaving the FY column blank.
- On the IS tab, extend the weighted-average basic shares outstanding into 2026 and 2027 by averaging the current and prior period-end basic balances each quarter, and setting the FY column as the average of the four quarters.
- On the IS tab, extend the GAAP EPS and Non-GAAP EPS lines and the diluted-EPS Y/Y growth line into the same 2026 and 2027 quarters and FY columns, using the same GAAP/non-GAAP logic already applied to the historical columns (GAAP EPS switches divisor between basic and diluted based on sign of net income; growth uses the prior-year same-period diluted EPS).
- On the CFS tab, populate header row 3 with period labels linked to the IS tab across every FY column that was previously blank so all subsequent formulas align to the same period grid, and add the workbook title link in row 1 plus the missing "S" quarter tag in the metrics header row.
- On the CFS tab, build the Net Income line across the entire quarterly and annual grid by linking each quarter to IS net income (GAAP) and each FY column as the sum of its four quarters.
- On the CFS tab, build the non-cash add-back block (D&amp;A, income taxes, gain/loss on facility sales, loss on debt retirement, amortization of debt issuance costs, stock-based comp, other) across the forecast quarters — D&amp;A from the negative of the BS PP&amp;E depreciation plus intangibles amortization change, income taxes from the change in the BS tax liability, debt-issuance-cost amortization and SBC held flat off the prior quarter, and gain/loss/other set to zero — then compute each FY column as the sum of its four quarters, and add a "Total Non-Cash" subtotal row summing rows 6–13 across every quarter and FY.
- On the CFS tab, build the Changes in Working Capital block (AR, Inventories, AP &amp; accrued) for the forecast quarters by taking prior-period minus current-period balances from the BS (with the AP line also incorporating the changes in accrued salaries, other accrued liabilities, and other current assets), and populate the "Total Changes in Working Capital" subtotal by summing rows 16–18 across every quarter and FY column. Also add plug-style historical hardcodes for Q1–Q4 of the first historical year on the total-WC row: -1294+754, -2335+1777 less the prior quarter, -3319+2732 less the prior two quarters, and -4395-19+142+3858 less the prior three quarters.
- On the CFS tab, build the Cash Flows from Operations subtotal across every quarter and FY as the sum of the total non-cash add-backs and the total working capital change (with a few historical-quarter cells built as WC + sum of rows 6–13 directly rather than through the non-cash subtotal).
- On the CFS tab, build the Investing block for forecast quarters — capex as the negative of BS capex, acquisitions/dispositions/other set to zero, change in investments from the change in BS short-term and long-term investments — then compute the FY sums, and populate the Cash Flows from Investing subtotal across all quarters and FYs.
- On the CFS tab, build the Financing block for forecast quarters — issuance of long-term debt, repayment of long-term debt, and net change in revolving credit all sourced from the Debt schedule; distributions to NCI, dividends paid held flat off prior quarter; purchase of common stock driven by the active scenario via CHOOSE against the Scenarios tab rows 60/61/62; other financing, debt issuance cost payments, and stock issuance set to zero — then compute the FY sums and populate the Cash Flows from Financing subtotal across all quarters and FYs.
- On the CFS tab, build the FX/Other adjustment lines (rows 41–42) as zero across the forecast quarters and sum to FY.
- On the CFS tab, build the Net Increase in Cash line across every quarter and FY as CFO + CFI + CFF + FX + Other.
- On the CFS tab, build the Beginning Cash Balance line as the prior period's Ending Cash across every quarter and FY (with each FY column pulling the prior-FY ending balance and each Q1 pulling the prior FY-end), and build the Ending Cash Balance line as Beginning + Net Increase across every quarter and FY.
- On the CFS tab, add the Check row equal to ROUND(Ending Cash − BS Cash, 3) across every quarter and FY column.
- On the CFS tab, build the Share Repurchase Price forecast schedule for 2026 and 2027 quarters — interpolating linearly from the FY2025 to FY2026 anchor (BY49 = 440) and from FY2026 to FY2027 anchor across Q1–Q3 with Q4 pulled to the FY value, and set the FY2027 anchor as prior-FY plus a $15 step-up.
- On the CFS tab, build the Capex as % of CFO line across every quarter and FY as BS capex divided by CFO.
- On the CFS tab, build the Unlevered Free Cash Flow block across every quarter and FY: cash flow from operations equal to CFO, less capital expenditures equal to CFS capex, add cash paid for interest computed as −(−IS interest expense + amortization of debt issuance costs), acquisition-related expenses and non-recurring adjustments set to zero, with the "= Unlevered Free Cash Flow" line summing rows 54–58 and FY columns computed as the sum of their four quarters.
- On the CFS tab, build the Levered Free Cash Flow block across every quarter and FY as CFO less Purchase of PP&amp;E, with the "= Levered Free Cash Flow" line summing rows 61–62.
- On the CFS tab, build the Levered-FCF-per-share line (row 64) across every FY column as Levered FCF divided by the IS diluted share count for that FY.
- On the CFS tab, build the Net Issuance (Modelware) reference line across every quarter and FY as a direct pull from row 38 (issuance of common stock and stock warrants, net of issuance costs).</t>
        </is>
      </c>
      <c r="H27" s="13" t="inlineStr">
        <is>
          <t>27b833b2-b759-439b-aa91-db78616e22b8</t>
        </is>
      </c>
    </row>
    <row r="28" ht="300" customHeight="1">
      <c r="A28" s="13" t="inlineStr">
        <is>
          <t>c4ba7c97</t>
        </is>
      </c>
      <c r="B28" s="12" t="inlineStr">
        <is>
          <t>APPROVE to generating_prompt.</t>
        </is>
      </c>
      <c r="C28" s="13" t="inlineStr">
        <is>
          <t>wangche2532@gmail.com</t>
        </is>
      </c>
      <c r="D28" s="13" t="n">
        <v>1635</v>
      </c>
      <c r="E28" s="13" t="n">
        <v>6347</v>
      </c>
      <c r="F28" s="12" t="inlineStr">
        <is>
          <t>Clear content: Quarterly!B94:AN160, Quarterly!B198:AN236</t>
        </is>
      </c>
      <c r="G28" s="12" t="inlineStr">
        <is>
          <t>- On the Quarterly tab, add a "Consolidated BS (Pro Forma)" section with an opening column pulled from the annual Model tab (PPE net including store decoration, intangibles, inventory, trade receivables, trade payables, prepayments and other receivables, other payables and advances, income tax liabilities, deferred tax assets, other liabilities, cash and cash equivalents, term loan, shareholder loan, capex facilities, minority interest, ordinary shares, capital surplus, retained earnings/reserves, and distributable retained earnings) so each line has an anchor starting balance to roll forward.
- Build the quarterly asset roll-forwards inside that BS section: PPE, net rolls forward by subtracting the quarter's D&amp;A and capex lines (store decoration capex, production facility capex, disposals); intangibles carry forward flat; prepayments, other payables, income tax liabilities, deferred tax assets, and other liabilities all carry forward flat quarter-to-quarter from the opening balance.
- Build the trade working capital lines as days-based drivers off the quarterly P&amp;L: inventory as negative of the trailing-quarter average COGS × inventory days ÷ 365, trade receivables as trailing-quarter average revenue × DSO ÷ 365, trade payables as negative of trailing-quarter average COGS × DPO ÷ 365; sum inventory + receivables − payables into "Trade working capital"; sum prepayments − other payables − income tax liabilities into "Non-trade working capital"; sum long-term assets + trade WC + non-trade WC into "Net operating assets"; net other liabilities minus deferred tax assets into "Other liabilities / (assets)".
- Build the debt and equity side of the BS: cash equals the ending cash line from the CFS below; term loan, shareholder loan, and capex facilities carry forward each quarter but pick up refinancing/drawdown steps from the annual Model tab in the year-transition quarters; net debt equals total debt minus cash; equity block carries minority interest, ordinary shares (stepped up by paid-in capital increases), capital surplus, retained earnings (rolled by net income + dividends to founder + common dividend), and distributable R.E. (rolled by 90% of net income + dividends); total equity sums the equity lines; add a BS balance check: "-" if (net operating assets − other liab/assets − net debt − total equity)² &lt; 1 else "CHECK".
- On the Quarterly tab, add a "Consolidated CFS (Pro Forma)" section directly below the BS: EBIT-normalized and D&amp;A-normalized pulled from the quarterly P&amp;L rows above, summed into EBITDA-normalized; change in working capital as prior-quarter (trade + non-trade WC) minus current-quarter (trade + non-trade WC); Total Cash Generation = EBITDA + Δ WC.
- Continue the CFS build: subtract taxation (from quarterly P&amp;L), subtract store-decoration capex (negative of the two store-decoration capex lines from the quarterly P&amp;L), roll to "OFCF before capex on production facility"; subtract production-facility capex, add capex-facility drawdown (pulled from Model tab in the drawdown quarter, zero elsewhere), roll to "Operating Free Cash Flow".
- Continue the CFS with the below-OFCF section: change in CF from non-operations (hardcoded 0 across quarters), disposal of assets (pulled from Model tab in the disposal quarter, else 0), (inc)/dec in other assets/liabilities as change in "Other liab / (assets)", net interest income/(expense) from the quarterly P&amp;L, inc/(dec) in term loan and SH loan as period-over-period change in the BS balances, capex loan amortization (pulled from Model tab in the amort quarter, else 0); sum all these into "Cash Flow after Debt Service".
- Complete the CFS: increase in paid-in capital (from Model tab in the raise quarter, else 0), payment of dividend from pre-FY12 R.E. to Founder (from Model tab in relevant quarters, else 0), common dividend (from Model tab in relevant quarter, else 0); sum these plus CF after Debt Service into "Change in liquidity"; beginning cash = prior-period ending cash; opening ending cash pulled from Model tab and rolled forward as beginning cash + change in liquidity.
- On the Quarterly tab, add a "Debt covenants – Opco &amp; Holdco" block. First lay the quarterly driver rows: OFCF = quarterly OFCF + disposal of assets + dividend/SH-loan flows from the HoldCo section above (with the year-transition quarter also netting the Model paid-in-capital and founder dividend items); Dividend received + SH loan repayment received = sum of HoldCo dividend/SH-loan cash flows; EBITDA from the quarterly P&amp;L; Debt amortization – Opco as prior-period minus current-period (term loan + capex facilities); Debt amortization – Holdco from HoldCo debt schedule; Interest expenses – Opco as negative of P&amp;L net interest minus HoldCo interest allocation; Interest expenses – Holdco as negative of HoldCo interest expense (with the pre-drawdown quarters flat-referencing the first live quarter).
- Build the LTM rollup rows above the quarterly drivers: LTM OFCF, dividend received, EBITDA, Opco debt amort, Holdco debt amort, Opco interest, Holdco interest each summed as trailing-four-quarter sums of the corresponding quarterly rows (with Holdco interest LTM defined as trailing-four-quarter Holdco interest + Opco interest per the formula, and the first LTM column additionally adding the Model paid-in-capital and founder dividend items); Total External Debt from the loan-balance rows above (onshore term loan + two other loan lines); DSRA as half of the LTM Holdco interest line; Net debt = quarterly net debt + HoldCo net debt − SH loan.
- Build the four covenant ratio panels underneath: (1) Holdco debt coverage ratio = LTM dividend ÷ (LTM Holdco debt amort + LTM Holdco interest) with covenant hardcode 1.3 across all periods, plus headroom in dividend units (dividend − (amort + interest) × covenant) and headroom as % of dividend; (2) Total debt/EBITDA = (Total External Debt − DSRA) ÷ LTM EBITDA with time-varying covenant stepping from 3.3 down to 3.0, 2.8, then 2.5, plus EBITDA headroom (LTM EBITDA − (debt − DSRA)/covenant) and headroom %; (3) Net debt/EBITDA with flat covenant 3.0 and analogous headroom lines; (4) EBITDA/interest expense = LTM EBITDA ÷ (LTM Opco interest + LTM Holdco interest), with time-varying covenant stepping from 2.5 up through 2.8 to 3.0, and analogous headroom-in-EBITDA and headroom-% lines.</t>
        </is>
      </c>
      <c r="H28" s="13" t="inlineStr">
        <is>
          <t>c4ba7c97-5f2e-4e3e-8f63-3d68539868bc</t>
        </is>
      </c>
    </row>
    <row r="29" ht="300" customHeight="1">
      <c r="A29" s="13" t="inlineStr">
        <is>
          <t>92b20cff</t>
        </is>
      </c>
      <c r="B29" s="12" t="inlineStr">
        <is>
          <t>APPROVE to generating_prompt.</t>
        </is>
      </c>
      <c r="C29" s="13" t="inlineStr">
        <is>
          <t>infinitearbitrage@gmail.com</t>
        </is>
      </c>
      <c r="D29" s="13" t="n">
        <v>1598</v>
      </c>
      <c r="E29" s="13" t="n">
        <v>9093</v>
      </c>
      <c r="F29" s="12" t="inlineStr">
        <is>
          <t xml:space="preserve">Q7, Q13, Q15, Property Details (formula section) and dependent cells on other tabs.
</t>
        </is>
      </c>
      <c r="G29" s="12" t="inlineStr">
        <is>
          <t>- In Property Details, build a new "Rented Sq. Ft." schedule (rows for each North America city, Europe city, Asia Pacific city, Northstar Target 003 Acquisition, Non-Data Center Properties, Managed Unconsolidated JV cities, and Non-Managed Unconsolidated JV cities) where each city's rented sq. ft. by year (columns Q–S, i.e., new period years) equals that city's occupancy rate × its net rentable sq. ft. from the existing tables above; add regional weighted-average subtotals (North America, Europe, Asia Pacific) as SUM of member cities for the new period columns and as (regional occupancy × regional NRSF) for the historical columns L–P, followed by a "% occupancy check" row equal to the subtotal divided by regional NRSF.
- In Property Details, add the "Total, excl. held for sale", "Held for sale", and "Total, incl. held for sale" roll-up rows beneath the Rented Sq. Ft. schedule: totals for L–P equal aggregate NRSF × aggregate occupancy; totals for Q–S equal the sum of the regional subtotals plus Northstar, Non-DC, and both JV blocks; held-for-sale is 0 across history except for P (period-P NRSF × period-P held-for-sale occupancy); include a check row equal to total incl. held for sale divided by total NRSF.
- In Property Details, build a parallel new "Monthly Rent per Sq. Ft. Leased" schedule mirroring the same row structure (all cities, regions, JVs, Northstar, Non-DC) with a bottom block of "Total, excl. held for sale", "Held for sale", and "Total, incl. held for sale" rows computing revenue × 1000 / rented sq. ft. / 12 across all historical and new columns.
- In Summary rows 26 and 37 (Occupied square footage, EoY), link the previously blank period-L cell in row 26 to the new Property Details "Total, excl. held for sale" rented sq. ft. row, and populate row 37 columns L–R and AI so each year equals Property Details "Total, incl. held for sale" less Northstar Target 003, less Managed JV total, less Non-Managed JV total (i.e., the wholly-owned occupied footprint).
- In Property Details row 250 add the period-P "Total, incl. held for sale" occupancy calculation as total sq. ft. divided by total NRSF.
- In Unit Economics, build a new "Unit Economics ($/sq. ft./month)" historical schedule beginning at the header row (years 2013 → 2019H1 in columns C–I with a parallel YoY growth-rate block in K–O headed 2015 → 2019H1): for each revenue line (Rental revenues, Tenant reimbursements – Utilities, Tenant reimbursements – Other, Interconnection &amp; other, Fee income &amp; Other), each variable cost line (Utilities → Total Variable Cost), and each fixed-cost line (Operating repair &amp; maintenance, Property taxes &amp; insurance, Construction management, G&amp;A, Transaction &amp; integration → Total Fixed Cost) compute value × 1000 / NRSF / 12 (÷6 for the half-year 2019H1 column), with a Total Operating Revenues check row, a Recurring EBITDA row (Total Rev + Total Var + Total Fixed) and its % margin (EBITDA/Total Op Rev); the K–O columns are simple period-over-period % change of the corresponding row.
- In Unit Economics, add the parallel "Unit Economics (% of Revenue)" historical schedule (columns C–I, 2013 → 2019H1) expressing each revenue, variable-cost and fixed-cost line as a % of Total Revenue with Total Operating Revenues, Total Variable Cost, Total Fixed Cost and Recurring EBITDA subtotals derived on the same basis.
- In Unit Economics, build a new "Unit Economics of New Builds" input block: Upfront Investment inputs of NRSF 150000 and $/sq.ft. 820 with Total Investment ($mn) = NRSF × $/sq.ft. ÷ 10^6, alongside three peer benchmark blocks (Peer Alpha IR at $mn/MW 10 and Sq.ft./MW 6600, Peer Beta at $/cabinet 50000 and Sq.ft./cabinet 20, Peer Gamma at $mn/MW 6.5 and Sq.ft./MW 6600) each with an "Implied $/sq.ft." derivation.
- In Unit Economics, add the "Components" block below with cost split percentages of Building Shell 25%, Electrical Systems 40%, HVAC/Mechanical/DSE Cooling 15%, Building Fit-Out/Site Work 20%, useful lives of 40, 15, 15, and 40 years, and Annual Economic Depreciation per component = component $ / useful life; Total Investment sums the components, weighted useful life = Total / Total Depreciation.
- In Unit Economics, add the financing/valuation input block: Year of Construction 1, % Debt Financing 0, Interest rate 0, Debt = Total Investment × % Debt, Equity = Total Investment − Debt, Discount rate for terminal value 10%, Terminal growth rate linked to Inflation factor.
- In Unit Economics, build the 10-year "Cash Flow Model" for a new data center starting Year 1: Available Sq. Ft. = NRSF held flat; Occupancy rate ramp 60% in year 1 then 90% flat; Leased Sq. Ft. = Available × Occupancy; Inflation factor 0% compounding from a base of 1; for each revenue and cost line, Base Year per sq. ft. taken from the 2019H1 column of the historical $/sq.ft./month schedule and projected as Base × 12 × Leased Sq.Ft./1000 × inflation factor (fixed costs referenced to Available Sq. Ft.); Total Revenue sums the lines with a % growth row; EBITDA = Revenue + Utilities + Op R&amp;M + Prop taxes + G&amp;A with % margin; Economic depreciation = −Total component depreciation × 1000 flat; EBIT, Interest expense = −Debt × Interest rate × 1000, PBT, Income Tax = if PBT&lt;0 then 0 else −PBT × average recent effective tax rate from Summary, Underlying Cash Owner Earnings, and ROE = −UCOE / initial equity outlay.
- In Unit Economics, add the Terminal Value in the final CF year = UCOE × (1+growth) / (discount − growth) with a TV/EBITDA multiple check, then the equity cash-flow line (initial equity outflow in year 0, UCOE + TV in later years) and Equity IRR = IRR of the cash-flow row.
- In Unit Economics, add a "List of CBH Constructed DCs" table showing Avg. Cost per Sq. Ft. by site with an Average row (Sites 001–016 with values 761.3, 710.7, 874.3, 781.6, 1210.4, 1065.9, 718.3, 1162.9, 697.5, 630.1, 1111.6, 799.9, 526.2, 385.4, 619.7, 1058.2 and their city labels), and an IRR sensitivity table with Long-Term Occupancy Rate axis stepping from 90% in +2.5% increments and a Rent/Inflation axis in +0.5% steps populated with the resulting Equity IRR grid.
- In Summary, populate the "Revenue buildup" triangular schedule (rows 57–67) for each vintage year starting 2019 by multiplying the Unit Economics new-build Total Revenue year-by-year profile by the Summary "Incremental # Data Centers Built" in the corresponding vintage-year column, with the beyond-year-11 continuation growing at the general inflation rate; row 56 sums all vintages per calendar year.
- In Summary, populate the parallel "EBITDA buildup" triangular schedule (rows 70–80) using the Unit Economics new-build EBITDA line multiplied by the same vintage # Data Centers Built, with terminal-year continuation at the inflation rate and row 69 summing vintages per calendar year.
- In Summary row 50, link Avg. NRSF per data center to the Unit Economics new-build NRSF input.
- In Summary, populate the Depreciation forecast row 102 for the projected period (columns S–AD) using a rolling formula: prior period depreciation + (net additions to gross PP&amp;E in current period / weighted useful life from Unit Economics).
- In Summary, populate the True Maintenance Capex forecast row 209 for columns S–AD as −(terminal gross PP&amp;E ex-land ex-CIP) / useful life, with a growing add-back for the running sum of new Growth Capex divided by useful life.
- In Summary, populate the Growth Capex forecast row 210 for columns S–AD as −(Unit Economics new-build $/sq.ft. × 1000 × # Data Centers Built in that period), tying growth capex directly to the new-build program.
- Add a new "Q7" tab presenting a KPI panel for years 2004–2019H1 with a '05–'18 CAGR column: Net Rentable Sq. Ft. EoY and its % growth (from Summary), Average lease prices $/sq.ft./month and its % growth (from Property Details rent-per-sq.ft. total), Remaining average lease term (from Summary), Unadjusted occupancy rate (from Property Details total occupancy), Same-store occupancy rate (from Summary), and a hard-coded Customer retention rate series with values 80%, 80%, 70%, 80%, 70%, 70%, 80%.
- Add a new "Q13" tab building a maintenance-capex adequacy analysis for 2003–2019H1: pull Total Revenue, Net PP&amp;E reported, less Land, less Construction in Progress to derive Net PP&amp;E adjusted; pull Recurring Capex as reported and compute Recurring Capex as % of adjusted PP&amp;E; use the True useful life from the Unit Economics component schedule to compute True underlying recurring capex = adjusted PP&amp;E / useful life, ∆ from reported, and % Understated; below add Total Capex pulled from Summary.
- Add a new "Q15" tab building an Underlying Cash Owner Earnings analysis for 2005–2019H1 with an Average column: Cash flow from operations (from Summary), Less True Maintenance Capex (linked to Q13 true underlying capex row), Underlying ECF, Reported AFFO, % variance (Underlying ECF vs Reported AFFO), Dividends (common + preferred) from Summary, coverage based on reported AFFO (AFFO/Dividends) and coverage based on underlying ECF (ECF/Dividends), with averages computed for the summary column.</t>
        </is>
      </c>
      <c r="H29" s="13" t="inlineStr">
        <is>
          <t>92b20cff-2188-474c-b966-e33ada1437ee</t>
        </is>
      </c>
    </row>
    <row r="30" ht="300" customHeight="1">
      <c r="A30" s="13" t="inlineStr">
        <is>
          <t>5961c436</t>
        </is>
      </c>
      <c r="B30" s="12" t="inlineStr">
        <is>
          <t>APPROVE to generating_prompt. Strip the summary/meta bullets first.</t>
        </is>
      </c>
      <c r="C30" s="13" t="inlineStr">
        <is>
          <t>wangche2532@gmail.com</t>
        </is>
      </c>
      <c r="D30" s="13" t="n">
        <v>1330</v>
      </c>
      <c r="E30" s="13" t="n">
        <v>10121</v>
      </c>
      <c r="F30" s="12" t="inlineStr">
        <is>
          <t>Delete tabs: Deal System Deal Import, Deal System Physician Import, Essbase Export, Ops Budget, Development Earnings, Key Metrics Box, 9. Balance Sheet, 10. Go-Get
Clear content: Val Assum!J8:J11</t>
        </is>
      </c>
      <c r="G30" s="12" t="inlineStr">
        <is>
          <t>- 6 new tabs (Key Metrics Box, Development Earnings, Ops Budget, Deal System Physician Import, Deal System Deal Import, Essbase Export)
- Val Assum: added the Key Metrics side panel (IYC/FYC/UL IRR/EBITDA CAGR rows referring to Development Earnings, DCF, Fin &amp; Val Summary)
- 9. Balance Sheet: added subtotal/total formulas and Tangible Net Worth / Excess Cash blocks (only formulas — no new hardcodes)
- 10. Go-Get: added Go-Get and Variance columns (formulas =K-F and =K-M)
- Complete the `9. Balance Sheet` roll-ups: add the sum formulas for Total Current Assets, Total Non-Current Assets, Total Assets, Total Current Liabilities, Total Non-Current Liabilities, Total Liabilities, Total Stockholders' Equity, and Total Liabilities &amp; Stockholders' Equity across all four year columns. Build the Tangible Net Worth block (Total Assets less Intangibles less Liabilities) and the Excess Cash / (Net Debt) block (Cash less both Debt lines totaled). Repeat the historical year column into the second historical column where missing (Debt #1 for 2018A).
- Build a new `Development Earnings` schedule keyed to the deal facility, close date, and accounting method (pulled from the `I&amp;A` tab) plus Equity, Mgmt Buyout, Debt Assumption, Capital Lease, and Overhead pulled from `Val Assum` / `I&amp;A`. Include the Non-Standard Overhead override input (default 0). Compute Purchase Price = Equity + Mgmt Buyout, Total ASP Capital Outlay = Purchase Price + Debt + Capital Lease multiplied by ASP ownership, and Total Overhead = Standard + Non-Standard. Build a 24-month post-close ramp (rows 27–50) with columns for Mgmt Fee, Equity, unadjusted and adjusted E-NCI (with column headers that switch between "Consolidated" and "Equity" labels via IF on the accounting method), IOI / OE, and Calendar Year (via YEAR(EOMONTH(close date, months-1))). Aggregate the monthly ramp by calendar year using SUMIF to derive annual IYC/FYC values in the K:N block. Add a right-side helper table pulling Mgmt Fee, Equity + Mgmt Buyout, IOI/OE, and E-NCI from the `Pro Forma - Int` rows 67, 175+176, 166, and 182 via SUMIF against the year headers in row 2 for column years 1–24. Include an ASP AT Cash Flows block for both Unlevered (Pro Forma row 116) and Facility Levered (Pro Forma row 149) versions, taking Year 1/2/3 values, computing an Avg. Year 2–3 AT CF, and deriving the ASP Unlevered AT Cash Multiple as Total ASP Capital Outlay / avg AT CF. Add a checks column (rows 27–31) verifying TTM volume, TTM sums, Pro Forma NI vs Fin Inputs, Valuation Capital Outlay vs Dev Pipeline, and a DCF check. Seed the monthly E-NCI and IOI/OE column with hardcoded per-month values including 82590.68232042257, 82760.82120931144, 82930.96009820033, 83101.09898708922, 99771.71750049139, 99941.85638938028, 100111.99527826918, 100282.13416715807, 100452.27305604695, 100622.41194493584, 100792.55083382473, 97754.35638938028, 97924.49527826918, 98094.63416715804, 98264.77305604695, 98434.91194493584, 98605.05083382472, 98775.1897227136, 98945.3286116025, 99115.46750049139, 99285.60638938028, 99455.74527826918, 99625.88416715804 for one column and 127725.36985521021, 127482.31429965467, 127239.2587440991, 126996.20318854356, 181754.74638136558, 181511.69082581002, 181268.63527025445, 181025.5797146989, 180782.52415914336, 180539.4686035878, 180296.41304803223, 184636.69082581002, 184393.63527025445, 184150.57971469892, 183907.52415914336, 183664.4686035878, 183421.41304803226, 183178.3574924767, 182935.30193692114, 182692.24638136558, 182449.19082581002, 182206.13527025445, 181963.07971469892 for the other. Include month-index integers 1–24 in the header row.
- Extend `Val Assum` by adding a Key Metrics side panel in column H/J rows 8–11 with labels IYC (IOI), FYC (IOI), UL IRR, and EBITDA CAGR, pulling values from `Development Earnings` N27 and N28, `DCF &amp; IRR - Int` E38, and `4. Fin &amp; Val Summary` W55 respectively.
- Build a new `Key Metrics Box` summary tab with a Close Year computed as YEAR of the I&amp;A close date. In the top block (rows 3–7), pull Accounting Treatment, Close Date, and First Patient Date from `I&amp;A`; pull TTM EBITDA Multiple from `Val Assum` F7; pull UL AT Cash Multiple from `6a. Returns &amp; Metrics` F8; pull UL AT IRR from `DCF &amp; IRR - Int` E38; pull EVA Variance from `6a. Returns &amp; Metrics` H35; pull 5-YR EBITDA CAGR from `4. Fin &amp; Val Summary` W55; derive IYC (IOI) and FYC (IOI) via INDEX/MATCH into `Pro Forma - Int` row 166 across CP:CU using MATCH on Close Year and Close Year+1 into the year header in Pro Forma row 4. Build a mirrored bottom block (rows 10–14) that echoes the top values, hardcodes the Close Date and First Patient Date to 12/31/2021, and zeros out the IYC row.
- Build a new `Ops Budget` monthly schedule keyed off the I&amp;A close date, with month-end date columns for Year 1 (12 months rolling from close date) and Year 2 (next 12 months) plus Year 1 Total and Year 2 Total sum columns. Populate line items by INDEX/MATCH lookups from `Pro Forma - Int` rows D42, D44, D45 (revenue), D48–D54, D56 (costs), D67, D71, D73, D74 (below-line), and D166, D182 (attributable) using the facility line label in column B matched against Pro Forma column D and the month date matched against Pro Forma row 4. Compute Total Net Revenue = rows 10 + 11, EBITDAM = Total Net Rev − sum(rows 15:22), EBITDA = EBITDAM − ASP Mgmt Fee − Other Mgmt Fee, Pre-Tax Net Income = EBITDA − sum(rows 31:33). Add a Notes row noting "Monthly volume includes seasonality adjustments and based on working days".
- Build a new `Deal System Physician Import` export tab as a flat table with one row per physician (rows 2–3), with 21 columns for Salutation, First name, Last name, Name, Ownership in, Ownership type, Specialty, Contact type, Pre-Close, Post-Close, Commitment Agreement Status, TTM NPR/Case, TTM Volume, TTM Revenue, TTM Distributions, Liquidity, Run-rate NPR/Case, Run-rate Volume, Run-rate Revenue, Run-rate Distributions, Age. Hardcode Salutation as "Dr.", Ownership type as "Physician Equity", Contact type as "Physician", and Commitment Agreement Status per row ("Not Requested", "Requested"). Pull First/Last/Name and Specialty from `Physician Inputs` rows 9+; pull Ownership in from `I&amp;A` E7; derive Pre-Close via VLOOKUP into `6a. Returns &amp; Metrics` A49:E61 (col 5); Post-Close = Pre-Close × (1 − `I&amp;A` M13); TTM NPR/Case, TTM Volume, TTM Revenue, TTM Distributions, Liquidity, and Age via VLOOKUP into `6a. Returns &amp; Metrics` A49:Q61 columns 9/11/13/15/17/7.
- Build a new `Deal System Deal Import` export tab as a wide single-row table (row 2) with headers in row 1. Include deal identity columns pulling from `I&amp;A` (Name, Accounting, DOA Approval Required, TTM Financials As Of, Sign Date, Close/Fund Date, First Patient Date, ASP Ownership %, DOA Initial, DOA Final, Last OM Update, OM Status) plus Last model import = NOW(). Include ownership/purchase columns pulling from `Val Assum` J25/J26/J27/J29/J31 (Equity, Mgmt Buyout, Purchase Price, Debt Assumption, Total ASP Capital) and `D&amp;A &amp; Debt - Int` D30 (Capital Lease). Include valuation output columns pulling IY/FY E-NCI from `Development Earnings` M27/M28, UL AT CF from L38, Facility AT CF from L46, and computed multiples U2/AB2 and U2/AE2. Include UL AT IRR, TTM EBITDA Multiple, IYC, FYC from `Val Assum`; EVA Variance from `6a. Returns &amp; Metrics` H35; 5-YR EBITDA CAGR from `Key Metrics Box` E4; FY IOI Multiple = U2/AL2. Include EBITDA and Facility Distributions TTM/Y1/Y2 pulling from `Val Assum` J15 and `Pro Forma - Int` CE69/CF69/CD139/CE139/CF139, and Distributions per 1% computed as TTM × 0.01. Build 24 sequential year columns (CF..EA) with header row incrementing (=prior+1) starting from 1 in column CE. Populate the first 24-column block (row 2 columns 84–107) via SUMIF on `Pro Forma - Int` row 2 = year header, summing row 182 (E-NCI). Build a second 24-column block (columns 108–131) populated via SUMIF on `Pro Forma - Int` row 166 (IOI/OE), with header row starting from 1 again in column DD. Add an ORC Needed flag computed as IF(OR(EC2&lt;250000, EE2&lt;0.25, or any of EG2..EO2 starts with "Option X"), "Yes","No"). Include a services-cost block: MSA fee from `Inputs` D11, Total services costs from `Summary Output` D32, Margin % from D34, Total partnership expense from D29, and 22 line items each for OM current, OM Future Cost, and OM ASP Cost pulled from `Summary Output` columns C/D/F (rows 8–28), each wrapped in IFS(AND(`I&amp;A` J29 = "ON"), value, `I&amp;A` J29 = "OFF", ""). Include Last OM Update as IF(`I&amp;A` J30 = "", "", `I&amp;A` J30) and OM Status from `I&amp;A` J31.
- Build a new `Essbase Export` monthly export tab. Build a header block with fiscal year end date =("1/31/"&amp;year), close year+1 as YEAR(`I&amp;A` E16)+1 (extended across 12 columns), and monthly EOMONTH progression starting from `I&amp;A` E16 in row 4, plus a Business Unit label ="Business Unit "&amp;`I&amp;A` J27 and a YearTotal column. Populate line items via INDEX/MATCH from `Pro Forma - Int` D4:BY91 using label lookups against Pro Forma column D and month dates against Pro Forma row 4: Cases (D42), Net Patient Revenue (D44), Other Operating Revenues (D45), Salary &amp; Benefits (D49), Med Supplies (D48), Provision for Doubtful Accounts (D53), Rent (D51), plus Other Operating Expense computed as Total Revenue − sum(salary through rent) − Pro Forma D57 lookup. Below-line items: Interest (D73), D&amp;A (D71), Intercompany Management Fees (D67), Non-ASP Equity = 1 − Pro Forma D88 lookup. Add derived rows: Total Revenue = Net Patient Rev + Other Op Rev; Op Expenses = SUM of the five expense lines; EBITDA = Total Revenue − Op Expenses; Earnings before Min Int/Sale = EBITDA − sum(interest through tax); ASP Attributable Net Income = Earnings × (1 − Non-ASP Equity); include a placeholder Prov for Income Tax Benefit row.
- Extend `10. Go-Get` by adding two new columns to each of the P&amp;L line rows (revenues 29–34, Integrated Revenue 36, cost of sales 39/42/45/48, Gross Profit 51, opex 55/58, Adjusted EBITDA 61): Go-Get (column H) computed as Int. Case column K − Q2 YTD column F, and Variance (column O) computed as Int. Case column K − Annualized column M.</t>
        </is>
      </c>
      <c r="H30" s="13" t="inlineStr">
        <is>
          <t>5961c436-e583-4000-ad25-cc8e11a634ae</t>
        </is>
      </c>
    </row>
    <row r="31" ht="300" customHeight="1">
      <c r="A31" s="13" t="inlineStr">
        <is>
          <t>0e3f0394</t>
        </is>
      </c>
      <c r="B31" s="12" t="inlineStr">
        <is>
          <t>APPROVE to generating_prompt. Strip the summary/meta bullets first.</t>
        </is>
      </c>
      <c r="C31" s="13" t="inlineStr">
        <is>
          <t>sophie.xiao@toptal.com</t>
        </is>
      </c>
      <c r="D31" s="13" t="n">
        <v>1221</v>
      </c>
      <c r="E31" s="13" t="n">
        <v>9135</v>
      </c>
      <c r="F31" s="12" t="inlineStr">
        <is>
          <t>Completed four tabs - PCP Proforma, ASC Proforma, Lab Proforma, imaging proforma</t>
        </is>
      </c>
      <c r="G31" s="12" t="inlineStr">
        <is>
          <t>- **New tab**: `ASC Proforma` — full monthly + 5-year revenue/expense/cash flow build
- **`Lab Proforma`**: was only hardcode assumptions; late version adds the full 5-year P&amp;L with revenue, opex, EBITDA, deprec, dept allocations, capex, cash flow, IOI
- **`imaging proforma`**: same — added full P&amp;L
- **`PCP Proforma`**: was labels only; late version fills in monthly + annual formulas across revenue, comp, taxes/benefits, opex, EBITDA, D&amp;A, capex, debt, cash flow, and % KPIs
- **`Assumptions`**: added row 64 "Incremental Cases in 2 ASCs" formula (feeds ASC Proforma)
- On `Assumptions`, populate the previously blank "Incremental Cases in 2 ASCs" row (row 64) across all 12 months and 5 years, with the first two months hardcoded at 0 and each remaining monthly/annual cell equal to the "PCP Referrals to ASC" percentage driver (D62, already present) multiplied by the corresponding total-visit cell on the PCP Proforma; this row becomes the volume feed to the new ASC Proforma.
- On `PCP Proforma`, build the revenue block for months 1–12, year 1 total, and years 2–5: Physician Count and Practitioner Count pull directly from the Assumptions ramp columns; Work Days hardcoded at 240/12 with each period carrying prior; PCP Visits per PCP = Assumptions annual visits × workday driver / 12 for months, then pull years 2–5 from Assumptions cells G19:G22; AP Visits per AP are 0 in year 1 and equal PCP visits × AP-productivity driver (Assumptions D52) in years 2–5; Total Visits = physicians×PCP visits + practitioners×AP visits; Revenue per Visit pulls Assumptions D24 for year 1 and grows by Assumptions D25 each subsequent year; PCP Revenue and AP Revenue multiply counts × visits × rate, with AP revenue in years 2–5 scaled by an AP-rate factor (Assumptions D53); Total Revenue sums PCP + AP.
- On `PCP Proforma`, build the physician compensation block: Physician Base Compensation for year 1 months = LRC Staffing Analysis physician base salary / 12 × physician count, and years 2–5 = ramp physician count × Assumptions D49 comp driver; Physician Productivity Compensation left blank (annual totals just sum the empty monthly cells); Physician Compensation total = sum of base + productivity + row 24.
- On `PCP Proforma`, build the staff salary block referencing LRC Staffing Analysis: Leadership Salaries = sum of leadership rows C17:C18 / 12 for year 1 months, grown annually in years 2–5 by the inflation driver C20; Office Salaries = LRC E4 (per-physician cost) × physician count monthly, and years 2–5 = LRC D4 × (1+C20) × Assumptions physician ramp; Clinical Salaries built the same way from LRC E5/D5; Advanced Practitioners = LRC C23 / 12 × practitioner count monthly and grown by C20 annually; Staff Salaries total = sum of the four lines.
- On `PCP Proforma`, build the taxes-and-benefits block. Populate three helper stacks below the schedule at rows 94–97, 99–102, and 104–107 for Physician, Staff, and Leadership taxes respectively; each stack has four tier hardcodes in column A (0.1, 0, 100, 250) and monthly formulas that multiply the relevant salary base by the tier rate, tapering by month-specific factors (0.5/0.5, 0.6/0.3/0.1, etc.) to approximate FICA/FUTA/SUTA phase-outs. Row 33 Physician Taxes, row 35 Leadership Taxes, and row 39 Staff Taxes each equal the sum of their helper tier rows for months; years 2–5 flex the year-1 total by the ratio of taxes to the underlying salary base × the current-year salary. AP Taxes = physician tax rate × AP salaries. Physician/Leadership/AP/Staff Benefits each = 20% (hardcoded 0.2 in column B rows 34, 36, 38, 40) times the corresponding salary line. Total Taxes and Benefits sums rows 33–40.
- On `PCP Proforma`, build the operating-expense block. Office Locations pulls from Assumptions row 7 for all periods. Column B carries the annual per-driver hardcodes: Supplies and Drugs 25000, Billing/EMR 10% of revenue, IT Costs/Phone 10000/office, Repair &amp; Maintenance 12000/office, Licenses and CME 10000/physician, Marketing 7000/physician, Office Supplies 8000/office, Insurance 15000/physician, Building Rent linked to Assumptions C88, Bank Charges 1/visit, Utilities 15000/office, Lab Costs 12000/office, Other Operating 10000/office. Monthly formulas apply the driver/12 × the appropriate volume (offices, physicians, visits, or revenue). Years 2–5 grow each line by the year-1 unit cost × (1 + a period-specific inflation driver in columns W:Z, all seeded at 0) × the current-year unit count. Supplies and Drugs is a per-visit driver Assumptions D57 with inflation Assumptions D58. Total Operating Expenses sums the block; Total Expense adds comp, staff salaries, taxes/benefits, and opex; EBITDA = Total Revenue − Total Expense.
- On `PCP Proforma`, build the below-EBITDA and cash-flow lines. Depreciation for year 1 months = Debt Schedule BQ8 / 12 × office count, and years 2–5 pull Debt Schedule BZ8:BZ9 (with years 4–5 carrying prior); Net Gain (Loss) = EBITDA − Depreciation; Miscellaneous Capital Purchases = Assumptions E95/12 monthly and Assumptions E96/E97 for years 2–3 with years 4–5 flat; Debt Payments monthly = Debt Schedule BQ17/12 × offices + BQ25/12 × physicians, and years 2–5 pull Debt Schedule BZ31:BZ32; Net Cash Flow = Net Gain + Depreciation − CapEx − Debt Payments; IOI Impact = EBITDA − Depreciation. Add three KPI rows: Labor % of Revenue, Other Operating % of Revenue, and EBITDA Margin.
- Add a brand-new `ASC Proforma` tab structured as monthly (months 1–12) plus year-1 total and years 2–5 columns, with row labels for Revenue Inputs, Incremental Cases, NPR/Case, Total Revenue, Labor, Supplies, Other Variable Costs, Bad Debt, Management Fees, Total Expense, EBITDA, Depreciation, Net Gain (Loss), Miscellaneous Capital Purchases, Debt Payments, Net Cash Flow, IOI Impact, plus KPI rows for Labor/Case and Supplies/Case. Incremental Cases pull from the new Assumptions row 64. NPR/Case pulls the flat rate Assumptions F69. Total Revenue = cases × NPR. Labor, Supplies, and Other Variable Costs each = an Assumptions per-case rate (F70, F71, F72) × cases; Bad Debt and Management Fees each = an Assumptions rate (F73, F74) × Total Revenue. Total Expense sums opex; EBITDA = Revenue − Expense.
- On the new `ASC Proforma`, add the capital and cash-flow section. Miscellaneous Capital Purchases are zero for months 1–6, month 7 (July, first year investment period) = Assumptions D100, and years 2–5 pull Assumptions D101:D104. Depreciation is zero until month 7, then equals the month-7 capex spread over 60 months; year 1 total sums monthly; year 2 depreciation = (Y2 capex + Y1 capex)/5, and years 3–5 use a running SUM of capex from year 1 through the current year divided by 5. Debt Payments seeded at 0 with each period carrying prior. Net Gain (Loss) = EBITDA − Depreciation; Net Cash Flow = Net Gain + Depreciation − CapEx − Debt; IOI Impact = EBITDA − Depreciation. Labor/Case and Supplies/Case KPIs = the corresponding cost row ÷ cases with IFERROR guard.
- On `Lab Proforma`, keep the existing provider-count block (85 / 60) and revenue ramp assumptions (0.7 / 0.8 / 0.9), but relocate them to rows 43–49 and add above them a full 3-year P&amp;L covering years 3–5. Revenues = (lab northstar X9 / Cedarbrook provider count 60) × Northstar provider count 85 × the year's ramp factor. Add expense lines — Labor, Supply, Occupancy, Purchased Services Other, IT, Phone and Networking, Courier, Taxes and Licenses, and Other G&amp;A — each equal to Revenue × the corresponding lab northstar cost ratio in column Y (rows 11–19); for a subset (Labor, Occupancy, IT, Phone, Taxes) years 3 and 4 are set equal to year 5 rather than scaled independently. Total Operating Expenses sums the nine lines; EBITDA = Revenue − Opex; Depreciation = Assumptions C121 / 7 held flat; Interest hardcoded 0; Operating Income = EBITDA − Depreciation − Interest; Department Allocations = Revenue × (−1 × lab northstar Y29); Net Income = Operating Income − Allocations; Capital Expenditures = Assumptions C125 held flat; Debt Payments blank; Net Cash Flows = Net Income − CapEx − Debt; IOI = EBITDA − Allocations − Depreciation. Add a % of revenue column in column G against the year-5 base.
- On `imaging proforma`, in parallel to the lab build, keep the provider counts (85 / 60) and ramp factors (0.9 / 1 / 1) but relocate them to rows 38–44 and add above them a 3-year P&amp;L for years 3–5. Revenues = (imaging northstar D9 / provider count 60) × 85 × the year's ramp factor. Expense lines — Labor, Supply, Occupancy, Other G&amp;A — each = Revenue × the corresponding imaging northstar ratio in column E (rows 11, 12, 13, 15); Labor and Occupancy years 3 and 4 tie back to year 5. Total Operating Expenses sums them; EBITDA = Revenue − Opex with an EBITDA-margin cell = Y5 EBITDA / Y5 revenue; Depreciation = Assumptions C128 / 10; Interest 0; Operating Income = EBITDA − Depreciation − Interest; Department Allocations 0; Net Income = Operating Income − Allocations; Capital Expenditures = Assumptions C133 held flat; Net Cash Flows = Net Income − CapEx − Debt; IOI = EBITDA − Allocations − Depreciation; add per-line % of Y5 revenue KPIs in column G.</t>
        </is>
      </c>
      <c r="H31" s="13" t="inlineStr">
        <is>
          <t>0e3f0394-b3e2-4e6c-836e-704eff6c48e2</t>
        </is>
      </c>
    </row>
    <row r="32" ht="300" customHeight="1">
      <c r="A32" s="13" t="inlineStr">
        <is>
          <t>f3efbb17</t>
        </is>
      </c>
      <c r="B32" s="12" t="inlineStr">
        <is>
          <t>APPROVE to generating_prompt.</t>
        </is>
      </c>
      <c r="C32" s="13" t="inlineStr">
        <is>
          <t>wangche2532@gmail.com</t>
        </is>
      </c>
      <c r="D32" s="13" t="n">
        <v>1206</v>
      </c>
      <c r="E32" s="13" t="n">
        <v>9869</v>
      </c>
      <c r="F32" s="12" t="inlineStr">
        <is>
          <t>Delete tabs: OUTPUT - Assumptions, OUTPUT - Phase I, OUTPUT - Phase II, OUTPUT - AVP Summary, OUTPUT - Facility View, OUTPUT - External View, OUTPUT - Northstar Partners Lev, OUTPUT - One-Page Model, OUTPUT - Valuation Views
Clear content: Inputs &amp; Assumptions!I71:J71, Pro Forma!B41:I41, Northstar Partners Cash Flow &amp; !B59 与 !P59</t>
        </is>
      </c>
      <c r="G32" s="12" t="inlineStr">
        <is>
          <t>- Extend `OUTPUT - Assumptions` with a right-hand "Modeled Assumptions" block: a header row labeled Year 1 through Year 5 (columns J:N), and, in each of the five-year columns, an IF-formula per row that pulls the corresponding Year 1–Year 5 assumption from `Inputs &amp; Assumptions` (rows 106, 110, 111, 116, 117, 118, 121, 122, 125) and displays "-" when the pulled value equals the base/default in column D–H, otherwise the value itself. Below the annual block add single-column J entries (rows 23, 24, 26, 28, 30, 32, 33, 34, 35, 37, 39) each following the same "show '-' if equal to the base cell else show the input" pattern, sourcing from `Pro Forma!$J$27` vs. `Inputs &amp; Assumptions!$I$19`, `-Inputs &amp; Assumptions!$I$27`, `Inputs &amp; Assumptions!$F$137`, `Inputs &amp; Assumptions!$F$141`, `Northstar Partners Cash Flow!$D$24`, `Inputs &amp; Assumptions!J63`, `Inputs &amp; Assumptions!J60`, `Inputs &amp; Assumptions!F165`, `Inputs &amp; Assumptions!F163`, `Inputs &amp; Assumptions!I77`, and `-Inputs &amp; Assumptions!I49` respectively.
- Extend `OUTPUT - Phase I` by adding a lower "source block" (rows ~43–76) that pulls the underlying values, and a "display block" at the top (rows 4–37) whose cells simply reference the corresponding source-block cells. The source block contains: an IS-linked header row (`=IS!R7`, `=IS!U7`), a Volume row driven from `Pro Forma!F8` and `Pro Forma!I8`, a hardcoded "Volume from Partners (%)" of 0.5 for both periods, an NPR row driven from `Pro Forma!F10` and `Pro Forma!I10`, an NPR/case row computed as NPR divided by Volume, an EBITDA row from `Pro Forma!F30` and `Pro Forma!I30`, an EBITDA margin row from `Pro Forma!F81` and `Pro Forma!I81`, and a Debt row with the current-period value hardcoded at 203,284.5 and the pro-forma value linked to `Inputs &amp; Assumptions!$F$149`.
- Build the new `OUTPUT - Phase II` tab as a Phase II Approval capital-outlay summary. Underlying block (rows 36–62) computes: TTM EBITDA (`Pro Forma!$I$30`) × Seller Multiple (`Inputs &amp; Assumptions!$I$36`) = Enterprise Value; less Existing Debt (`Inputs &amp; Assumptions!I39`) = Equity Value; × Northstar Partners Ownership (`Inputs &amp; Assumptions!I7`) = Northstar Equity Purchase; plus Mgmt Fee Purchase Price (`Inputs &amp; Assumptions!$I$15`) plus Deal Costs (`Inputs &amp; Assumptions!$I$49`) = Total Unlevered Capital Outlay; Total Levered Capital Outlay pulled from `Inputs &amp; Assumptions!$J$67`. A five-year Year 1–Year 5 strip below pulls Northstar E-NCI and Effective Multiple from `Pro Forma!J45:N46`, and Total Cash Flow (Unlevered/Levered) from `Northstar Partners Cash Flow` row 50 columns E:I (unlevered) and S:W (levered). A top display block (rows 4–21) mirrors each source-block cell, wrapping the pro-forma comparison column in an `IF(...=0,"",...)` blanking test.
- Build the new `OUTPUT - AVP Summary` tab as an Analysis-at-Various-Prices grid. Source block (rows 23–36) lays out five seller-multiple scenarios hardcoded as 6, 6.5, 7, 7.5, and 8 across columns C:G. Under each scenario multiple, populate rows for Enterprise Value, Levered Purchase Price, Unlevered Purchase Price, Levered/Unlevered @ 7.0x Exit Multiple, and Levered/Unlevered @ 9.0x Exit Multiple; each is a self-referencing IF that snaps to the live `Inputs &amp; Assumptions` value (`I38`, `J67`, `I67`, `I85`, `H85`) when the column's seller multiple matches `Inputs &amp; Assumptions!$I$36` (and, for the exit-multiple rows, when `Inputs &amp; Assumptions!$I$77` equals 7 or 9), otherwise holds its own prior value — creating a hand-populated table that records IRR/price results as the user cycles the seller/exit multiples on the input tab. A top display block (rows 5–18) mirrors the source block one-for-one.
- Build the new `OUTPUT - Facility View` tab as a full facility-level P&amp;L presentation. Source block (rows 54–95) restates the `Pro Forma` income statement (Cases, NPR, Other Revenue, Total Revenue, SWB, Supplies, Other Variable, Rent, Other Fixed, Bad Debt, EBITDAM, Total Facility Mgmt Fees as sum of `Pro Forma` rows 26:28, EBITDA, D&amp;A as `Pro Forma` row 33 + row 34, Net Interest Expense from row 35, Net Income) across three historical columns (C, D, E from `Pro Forma` D8:F* range) and pro-forma column H plus Year 1–Year 5 columns I:M (from `Pro Forma` J:N), with a CAGR column O pulling `Pro Forma` column P. Add Northstar E-NCI and Effective Multiple rows (81, 82) pulling `Pro Forma` row 45/46, and a KPI section (rows 89–95) linking to `Pro Forma` rows 82–87 (NPR/case, SWB/case, Supplies/case, Other Var/case, Other Fixed/case, Bad Debt/NR). Divide dollar values by 1000 where appropriate. Top display block (rows 5–46) mirrors each source-block cell and adds a "(1)" footnote marker with the note "(1) Reflects Northstar Partners earnings CAGR for pro forma period only."
- Build the new `OUTPUT - External View` tab as a side-by-side Unlevered-vs-External-View acquisition summary. Source block (rows 36–61) constructs two parallel purchase-price columns: an Unlevered column that uses `Inputs &amp; Assumptions!I35/I36/I45/I49/H85` with Existing Facility Debt hardcoded to 0, Existing Capital Leases hardcoded to 0, and Debt Capital hardcoded to 0; and an External View column that uses `Inputs &amp; Assumptions!K35/K36/K39/K40/K45/K49` plus Debt Capital = `Inputs &amp; Assumptions!K66+K65`. Both columns compute Enterprise Value = EBITDA × Multiple, Equity Value = EV − Existing Debt (External also subtracts Capital Leases), Northstar Equity Purchase = Equity × Ownership (`Inputs &amp; Assumptions!$I$7`), Total Equity Capital = sum of Equity+Mgmt Fee+Deal Costs, Total Capital Outlay = Equity + Debt, Year 1 E-NCI (row 58 uses an IF on `Inputs &amp; Assumptions!$C$12`="Consolidated" to choose between `Pro Forma!J48` and `Pro Forma!J55`; the Unlevered column takes `Pro Forma!J45`), and Effective Multiple = Total Outlay / Year 1 E-NCI. Also include the Unlevered 5-Year IRR at 9.0x Exit (`Inputs &amp; Assumptions!H85`). Top display block (rows 5–30) mirrors each source-block row, wrapping the External-View column in `IF(...=0,"",...)` blanking tests.
- Build the new `OUTPUT - Northstar Partners Lev` tab as a leverage-impact bridge showing Northstar's balance sheet before, the acquisition target's contribution, and the pro-forma combined. Source block (rows 27–46) sets column C to "Northstar Partners as of 12/31/13" with hardcoded debt-tranche balances: $132 Revolving Credit Facilities 0, Class B Term Loans due 2017 = 214,429,000, Class C Term Loans due 2018 = 388,050,000 − 784,000, Other Long-Term Debt 0, 10.0% Senior Subordinated Notes due 2017 = 0, Notes Payable to Banks and Others = 44,023,000, Capital Lease Obligations = 27,170,000, Cash and Cash Equivalents = 85,800,000, and Northstar E-NCI = 142,900,000. Column D pulls the target's Notes Payable from `Inputs &amp; Assumptions!K66`, Capital Leases from `Inputs &amp; Assumptions!K65`, negative Cash from `Inputs &amp; Assumptions!K67`, and E-NCI via IF on `$C$12`="Consolidated" between `Pro Forma!J48` and `Pro Forma!J55`, with all other tranches at 0. Column E sums C+D. Compute Total Long-term Debt, Net Debt (Debt − Cash), Gross Leverage (Debt/E-NCI), and Net Leverage (Net Debt/E-NCI) for all three columns. Top display block (rows 4–23) mirrors each source-block cell.
- Build the new `OUTPUT - One-Page Model` tab as a compressed KPI-and-growth one-pager. Source block (rows 43–70) mirrors the Facility View layout but with three historical columns (C, D, E) plus a pro-forma column F and five Year columns H:L, pulling Cases, NPR, NPR/Case, SWB, SWB/Case, Supplies, Supplies/Case, EBITDAM, EBITDA, and Northstar E-NCI from the corresponding `Pro Forma` cells. Top display block (rows 5–32) mirrors each source-block cell divided by 1000 where dollars, and adds calculated "% ∆" period-over-period rows beneath each level metric, "% of Revenue" ratio rows beneath SWB / Supplies / EBITDAM / EBITDA / E-NCI, and a CAGR column N computed as `(L/F)^(1/5)-1` (or `(L/H)^(1/4)-1` for the E-NCI row which starts in the pro-forma column), each wrapped in `IF(ISERROR(...),"N/A",...)`. Add footnote marker "(1)".
- Build the new `OUTPUT - Valuation Views` tab as a valuation summary with a five-year Northstar E-NCI/Effective-Multiple track. Source block (rows 34–52) pulls EBITDA (`Inputs &amp; Assumptions!I35`), Seller Multiple (`I36`), Existing Debt (`I39`), Ownership (`I7`), Mgmt Fee (`I45`), and Deal Costs (`I49`) to compute Enterprise Value, Equity Value, Northstar Equity Purchase, and Total Capital Outlay in column C. Row 51 (Northstar Year 1 E-NCI) uses a large IF on `Inputs &amp; Assumptions!$C$12`="consolidated" that either takes `Pro Forma!$I$23 − (Pro Forma!$I$38 + Pro Forma!$I$35)×(1 − Ownership) − Inputs!$I$27`, or otherwise computes `((Pro Forma!$I$10 − Pro Forma!$I$21)×(Inputs!$I$26×Inputs!$I$29) − Inputs!$I$27) + ((Pro Forma!$I$38 + Pro Forma!$I$35) − (Pro Forma!$I$10 − Pro Forma!$I$21)×Inputs!$I$26)×Ownership`; columns D:H populate Year 1–Year 5 from `Pro Forma!J45:N45`. Row 52 computes Effective Multiple = Total Capital Outlay / E-NCI across all years. Top display block (rows 4–22) mirrors each source-block cell (dollars divided by 1000) and adds a CAGR column J = `(H/C)^(1/5)-1` on the E-NCI row wrapped in `IF(ISERROR(...),"N/A",...)`, plus footnote marker "(1)".
- On `Inputs &amp; Assumptions`, add a "TTM Buyer Multiple" label at F71 and formulas in I71 and J71 that reference `OUTPUT - Valuation Views!$C$52` (the Northstar Effective Multiple), and update the data-table anchor at F95.
- On `Pro Forma`, add label "Implied Northstar Partners TTM E-NCI" at B41 and a formula at I41 that references `OUTPUT - Valuation Views!$C$52`.
- On `Northstar Partners Cash Flow &amp;`, add matching row-59 labels at B59 and P59 built as `"Terminal Value -- Exit Multiple = " &amp; TEXT('Inputs &amp; Assumptions'!$I$77,"#.0x") &amp; " " &amp; TEXT('OUTPUT - Facility View'!$B$81,"") &amp; " (Year 5)"`, and a formula at I59 equal to `+M12`.</t>
        </is>
      </c>
      <c r="H32" s="13" t="inlineStr">
        <is>
          <t>f3efbb17-561b-44a2-8f87-28e2abf47f9f</t>
        </is>
      </c>
    </row>
    <row r="33" ht="300" customHeight="1">
      <c r="A33" s="13" t="inlineStr">
        <is>
          <t>fa5950c9</t>
        </is>
      </c>
      <c r="B33" s="12" t="inlineStr">
        <is>
          <t>APPROVE to generating_prompt. Strip the summary/meta bullets first.</t>
        </is>
      </c>
      <c r="C33" s="13" t="inlineStr">
        <is>
          <t>wangche2532@gmail.com</t>
        </is>
      </c>
      <c r="D33" s="13" t="n">
        <v>1106</v>
      </c>
      <c r="E33" s="13" t="n">
        <v>7081</v>
      </c>
      <c r="F33" s="12" t="inlineStr">
        <is>
          <t>Delete tabs: OUTPUT - Assumptions, OUTPUT - Phase I, OUTPUT - Cedarbrook Holdings Le, OUTPUT - Assumptions (Board), OUTPUT - Quaterly Momentum, OPS BUDGET</t>
        </is>
      </c>
      <c r="G33" s="12" t="inlineStr">
        <is>
          <t>- New tab: OPS BUDGET
- OUTPUT - Assumptions (heavy)
- OUTPUT - Phase I (heavy)
- OUTPUT - Cedarbrook Holdings Le (heavy)
- OUTPUT - Assumptions (Board) — one small addition (J26)
- OUTPUT - Quaterly Momentum (very heavy)
- Build the top-of-tab quarterly momentum summary on OUTPUT - Quaterly Momentum by mirroring the historical data block that already sits at rows 47–85 into a presentation block at rows 4–42; pull the three year headers (2013, 2014, 2015) and the Q1–Q4 sub-headers up into rows 4 and 6, then link Cases, Net Patient Revenue, Other Revenue, SWB, Supplies, Rent, Other, Mgmt Fee, D&amp;A, Interest, Taxes, and Other Income line-by-line from the historical block into the summary block. Add a Total Expenses row that sums SWB + Supplies + Rent + Other, an EBITDAM row equal to Net Patient Revenue + Other Revenue − Total Expenses, an EBITDA row equal to EBITDAM − Mgmt Fee, a Net Income row equal to EBITDA − D&amp;A − Interest − Taxes − Other Income, per-case KPI rows for NPR/Case, SWB/Case, and Supplies/Case, and an EBITDA Margin row (EBITDAM / NPR). Also add matching Same-Store Qtr/Qtr % Δ rows beneath Cases, Net Patient Revenue, EBITDAM, and EBITDA that compare each quarter to the same quarter of the prior year (Q1'14/Q1'13−1, etc.), continuing through 2015.
- Fill in the still-blank calculation rows on the historical data block at rows 47–85 of the same tab: add the Total Expenses SUM row, the EBITDAM row (NPR + Other Rev − Total Expenses), the EBITDA row (EBITDAM − Mgmt Fee), the Net Income row (EBITDA − D&amp;A − Interest − Taxes − Other Income), the per-case ratios (NPR/Case, SWB/Case, Supplies/Case), the EBITDA Margin row, and the four Same-Store Qtr/Qtr % Δ rows (Cases, NPR, EBITDAM, EBITDA) using prior-year same-quarter comparisons.
- Build the new OPS BUDGET tab as a monthly reformat of the Pro Forma. Pull the twelve Year 1 monthly period headers and the twelve Year 2 monthly period headers directly from the Pro Forma date row into columns C–N and R–AC, and add "Year 1 Total" (column P) and "Year 2 Total" (column AE) SUM labels/columns. Link the following rows monthly from Pro Forma: Surgical Cases, Net Patient Revenue, Other Revenue, SWB, Supplies, Other Variable Expenses – Direct, Other Variable Expenses – Indirect, Rent, Other Fixed Expenses, RBO Fee, Bad Debt, Integration Expenses, Cedarbrook Holdings Mgmt Fee, and Other Mgmt. Fee. Add a Total Net Revenue row = NPR + Other Revenue, an EBITDAM row = Total Net Revenue − SUM of all expense rows above it, an EBITDA row = EBITDAM − Mgmt Fees, a Depreciation &amp; Amortization row = sum of the two Pro Forma D&amp;A rows, a Net Interest Expense row linked to Pro Forma, and a Pre-Tax Net Income row = EBITDA − D&amp;A − Net Interest. Populate the "Year 1 Total" and "Year 2 Total" columns as SUMs across the twelve monthly cells for every row. Add a final Cedarbrook Holdings E-NCI row whose label toggles on 'Inputs &amp; Assumptions'!C8 = "Consolidated" between "…(C) - Facility Levered" and "…(E) - Facility Levered"; monthly cells pull the corresponding Pro Forma cells under the same IF (Consolidated: G62−G63−G64; else: G71+G72), while the two annual total cells use IF(Consolidated, EBITDAM − Pre-Tax NI × (1 − 'Pro Forma'!$S$96) − Other Mgmt Fee, Pre-Tax NI × 'Pro Forma'!$S$96 + Cedarbrook Holdings Mgmt Fee).
- On OUTPUT - Assumptions, add a parallel "Modeled Assumptions" block in columns J–N (Year 1–Year 5) alongside the existing "Standard Assumptions" block in D–H. For every driver row (Volume, NPR/Case, Other Revenue/Case, SWB/Case, Supplies/Case, OVE-Direct/Case, OVE-Indirect Annual Increase, Rent Annual Increase, Other Fixed Annual Increase, Bad Debt % of Net Revenue), pull the live model value from Pro Forma (Volume from row 102; NPR/Case from row 106; SWB/Case from row 112; Supplies/Case from row 113) or Inputs &amp; Assumptions (Other Rev/Case row 119; OVE-Direct row 126; OVE-Indirect row 129; Rent row 130; Other Fixed row 131; Bad Debt row 134), wrapping each in an IF that returns "-" when the modeled value equals the standard-assumption value in the same row (using ROUND to 5 decimals for the per-case rate rows). For the single-value rows, populate column J with the same "equals standard → dash, else live value" pattern: Cedarbrook Holdings Mgmt Fee = 'Inputs &amp; Assumptions'!$I$19 × $I$37; O/H Expense = −$I$31/1000; RBO Fee = direct link to 'Inputs &amp; Assumptions'!F147; Taxes = $F$151; CapEx compares $F$155 to 'Pro Forma'!$F$39; Working Capital is hardcoded as "-"; Exit Multiple = $I$89; Deal Costs = −$I$57.
- On OUTPUT - Assumptions (Board), add the one missing RBO Fee link that pulls 'Inputs &amp; Assumptions'!F147.
- On OUTPUT - Cedarbrook Holdings Leverage Impact, expand the leverage table at rows 26–44 from one Cedarbrook Holdings-only column into a three-scenario table: keep column C as Cedarbrook Holdings – Q2 2016, add column D as "Insert Facility Name," and add column E as combined "Cedarbrook Holdings w/ [Facility Name]." In column D, populate Notes Payable to Banks &amp; Others with IF('Inputs &amp; Assumptions'!$C$8="Consolidated",'Inputs &amp; Assumptions'!$F$163,0), Capital Lease Obligations with the same IF against $F$170, Cash and Cash Equivalents with −'Inputs &amp; Assumptions'!$K$64, and Assumed Adjusted EBITDA-NCI with 'Pro Forma'!$S$51. In column E, sum C+D for every debt line, cash, and EBITDA. Also fill in the previously label-only calculation rows: Total Long-term Debt = SUM of the six debt-component rows in each column; Net Debt = Total LT Debt − Cash; Gross Leverage Ratio = Total LT Debt / EBITDA-NCI; Net Leverage Ratio = Net Debt / EBITDA-NCI — for each of columns C, D, and E.
- On the same tab, add a mirrored summary block at rows 4–22 that reproduces the detail block below: column A/B labels, headers, and every debt/leverage line reference back to the corresponding row in the 26–44 detail block. Add "($ in 000s)" as the A/B header at row 4 and set C4 = C26, D4 = "Insert Facility Name," E4 = "Cedarbrook Holdings w/ " concatenated with D4; row 26 mirrors these back (D26 = D4, E26 = E4) so the facility name entered in either block flows through.
- On OUTPUT - Phase I Approval, add a summary header section at rows 4–20 that mirrors the Facility Information detail block at rows 41–57, referencing each label and value cell one-for-one. Extend the Facility Information detail block itself with nine new payor/case-mix rows at 49–57 that pull labels and values from the Historical Volume tab (rows 5–11 and 14–15), and add a check-total cell at D60 that returns "Check Calc" unless SUM(D49:D57) = 100%.
- On OUTPUT - Phase I Approval, build a new "Key Variables ($ in 000s)" table at rows 61–72 populated with year headers from 'Pro Forma'!E9 and F9 and the following live-model rows: Volume ('Pro Forma'!E11/F11), Volume from Partners (%) linked to Physician!N38 and V38, NPR ('Pro Forma'!E13/F13), NPR/case = NPR / Volume, EBITDA ('Pro Forma'!E36/F36), EBITDA margin (%) = EBITDA / NPR, and Debt (BS!F29/G29). Then add a mirrored summary section at rows 24–35 that references each cell of the 61–72 detail block one-for-one.</t>
        </is>
      </c>
      <c r="H33" s="13" t="inlineStr">
        <is>
          <t>fa5950c9-4c71-4406-83bf-8fd81fc6ff67</t>
        </is>
      </c>
    </row>
    <row r="34" ht="300" customHeight="1">
      <c r="A34" s="13" t="inlineStr">
        <is>
          <t>79036bd8</t>
        </is>
      </c>
      <c r="B34" s="12" t="inlineStr">
        <is>
          <t>APPROVE to generating_prompt.</t>
        </is>
      </c>
      <c r="C34" s="13" t="inlineStr">
        <is>
          <t>alec.tseung@toptal.com</t>
        </is>
      </c>
      <c r="D34" s="13" t="n">
        <v>1061</v>
      </c>
      <c r="E34" s="13" t="n">
        <v>8908</v>
      </c>
      <c r="F34" s="12" t="inlineStr">
        <is>
          <t>Cleared contents across Calculations and Inputs tabs</t>
        </is>
      </c>
      <c r="G34" s="12" t="inlineStr">
        <is>
          <t>- On the **Inputs** tab, complete Section 1 Personal Details by computing Years to Preservation as Preservation Age minus Age.
- On the **Inputs** tab, build the Section 2 Tax Calculation outputs off Gross Salary: set Taxable Income equal to Gross Salary; compute Income Tax Payable with a nested-IF using the 2024-25 ATO brackets (nil to 18,200; 16% above 18,200; base 4,288 plus 30% above 45,000; base 31,288 plus 37% above 135,000; base 51,638 plus 45% above 190,000); Medicare Levy as 2% of Taxable Income; Total Tax as Income Tax plus Medicare; Effective Tax Rate as Total Tax / Taxable Income guarded for zero income; Marginal Tax Rate as a nested-IF returning 45%/37%/30%/16%/0% at the same bracket thresholds; Marginal Rate + Medicare as Marginal Rate plus 2%; Annual Take-Home Pay as Taxable Income minus Total Tax; Monthly Take-Home Pay as Annual Take-Home / 12.
- On the **Inputs** tab, build Section 3 Superannuation calculations: Employer SG Amount = Gross Salary × SG Rate; Total Carry-Forward Available as the sum of the five year-by-year carry-forward hardcodes; Eligibility flag = "YES" if Current Super Balance &lt; 500,000 else "NO"; Remaining Concessional Cap = MAX(0, Cap − SG Amount); Ongoing SS Space set equal to Remaining Concessional Cap; Total Available Cap (incl. Carry-Forward) = Remaining Cap plus Carry-Forward if eligible, else Remaining Cap; After-Tax Super Return = Assumed Return × (1 − Super Earnings Tax Rate); Division 293 Applies flag = "YES" if Salary + SG &gt; 250,000 else "NO"; Effective Contributions Tax Rate = 30% if Div 293 applies, else 15%; then the Div 293 detail block: Taxable Income = Gross Salary, Low Tax Super Contributions = SG Amount, Income + Contributions = sum, Excess Over Threshold = MAX(0, sum − 250,000), Div 293 Tax Payable = 15% × MIN(Total Cap, Excess) when Div 293 applies else 0, and Standard 15% Contributions Tax = Total Cap × 15%.
- On the **Inputs** tab, build Section 4 Home Loan derivations: Monthly Interest Rate = Annual Rate / 12; Remaining Loan Term (Months) = Years × 12; Minimum Monthly Repayment = PMT(Monthly Rate, Term Months, −Loan Balance) when rate &gt; 0 else straight-line Balance/Months; Total Interest Over Loan Life = (Monthly Repayment × Months) − Balance; Effective Loan Balance (after Offset) = Balance − Offset if Offset flag is "Yes" else Balance.
- On the **Inputs** tab, build Section 5 Annual Excess Cash = Monthly Excess × 12.
- On the **Inputs** tab, build Section 6 Key Derived Metrics: Tax Saved per $1 Salary Sacrificed = Marginal + Medicare − Effective Contributions Tax Rate; Effective (After-Tax) Interest Rate set to Annual Interest Rate; Super Return (After Earnings Tax) linked to After-Tax Super Return; Loan Rate vs Super Return Gap = Effective Rate − Super Return; and the per-$1 Salary Sacrifice benefit block: Pre-tax cost = 1 − Effective Contributions Tax Rate, After-tax cost of $1 salary = 1 − (Marginal + Medicare), Effective cost per $1 in super = After-tax cost / 1, Multiplier = Pre-tax cost / (1 − Marginal-plus-Medicare).
- On the **Calculations** tab, build the Scenario A "Extra Loan Repayments" 20-year schedule (rows for years 1–20): Year 1 seeds Loan Balance Start and Baseline Loan Balance from the Outstanding Loan Balance; each year computes Interest Accrued = Balance × Annual Rate, Min Annual Repayment = Monthly Repayment × 12 (gated to zero once balance reaches zero from Year 2 on), Extra Annual Repayment = MIN(Annual Excess Cash, MAX(0, Balance + Interest − Min Repayment)) (also gated on positive balance), Total Repayment = Min + Extra, Principal Repaid = MIN(Balance, Total − Interest), Ending Balance = MAX(0, Balance − Principal), Baseline Interest = Baseline Loan × Rate (gated), Interest Saved This Year = Baseline Interest − Interest Accrued, Cumulative Interest Saved rolling from prior year, and Baseline Loan Balance rolling as MAX(0, prior × (1 + Rate) − Min Repayment × 12). Row 26 TOTAL sums Interest, Min Repayment, Extra Repayment, Total, Principal, Baseline Interest, and carries the ending Cumulative Interest Saved.
- On the **Calculations** tab, build the Scenario B "Salary Sacrifice to Super" 20-year schedule with Additional Tax Costs columns: Year 1 seeds Super Balance Start from Current Super Balance; each year computes Gross Salary Sacrifice as (Annual Excess Cash + Cap × (Marginal+Medicare − Concessional Tax)) / (1 − Concessional Tax), where the Cap reference uses Total Available Cap (with carry-forward) in Year 1 and Remaining Cap in Years 2–20; Contributions Tax (Fund) = MIN(SS, Cap) × Effective Contributions Rate + MAX(0, SS − Cap) × Concessional Tax; Net Added = (SS − Contributions Tax) + Gross Salary × (1 + Growth)^(Year−1) × SG Rate × (1 − Effective Contributions Rate); Investment Return = (Start + Net Added) × Assumed Return; Earnings Tax = Return × Super Earnings Tax; Super Balance End = Start + Net Added + Return − Earnings Tax; Tax Saved vs Salary = MIN(SS, Cap) × (Marginal+Medicare) − MIN(SS, Cap) × Effective Contributions Rate; After-Tax Cost = SS × (1 − Marginal−Medicare) + MAX(0, SS − Cap) × (Marginal+Medicare − Concessional Tax); Residual to Loan = Annual Excess Cash − After-Tax Cost; Loan Balance End rolls as MAX(0, prior × (1 + Rate) − (Min Repayment × 12 + Residual)), gated on prior balance; ATO Excess Tax = MAX(0, SS − Cap) × (Marginal+Medicare − Concessional Tax); Excess Contributions = MAX(0, SS − Cap); Total Extra Tax = Contributions Tax + ATO Excess Tax. Row 50 TOTAL sums SS, Contributions Tax, Net Added, Return, Earnings Tax, Tax Saved, After-Tax Cost, Residual, ATO Excess, Excess Contributions, Total Extra Tax, and carries the ending Super Balance.
- On the **Calculations** tab, build the Scenario C "Offset Account" 20-year schedule: Year 1 seeds Offset Start from Current Offset Balance and Loan Start from Outstanding Loan; each year computes Annual Deposit = Annual Excess Cash, Offset End = Start + Deposit, Effective Balance = MAX(0, Loan − Offset Start), Interest Paid (With Offset) = Effective × Rate, Principal Repaid = Min Repayment × 12 − Interest Paid (gated on positive Loan Start from Year 2), Loan End = MAX(0, Loan Start − Principal), Interest Without Offset = Loan Start × Rate (gated), Interest Saved This Year = Without − With Offset, Cumulative Interest Saved rolling from prior year. Row 74 TOTAL sums Deposit, Interest Paid, Interest Without Offset, and carries Cumulative Interest Saved.
- On the **Calculations** tab, build the Net Wealth Comparison 20-year block (rows 78–97): Baseline Super (SG Only) rolls as prior × (1 + After-Tax Super Return) + Gross Salary × (1 + Growth)^(Year−1) × SG Rate × (1 − Effective Contributions Rate), seeded off Current Super Balance in Year 1; Baseline Loan pulled from Scenario A's Baseline Loan column; A: Cum. Interest Saved pulled from Scenario A; B: Extra Super = Scenario B ending Super − Baseline Super; B: Loan Savings = Baseline Loan − Scenario B Loan End; B: Total Benefit = Extra Super + Loan Savings; C: Cum. Interest Saved pulled from Scenario C; A/B/C Net Wealth Gains map to A Cum Saved, B Total Benefit, and C Cum Saved respectively; Best Scenario = nested-IF picking the max among A, B, C; B vs A Difference = J − I; C vs A Difference = K − I. Row 98 SUMMARY holds Year-20 values for E, F, G, I, J, K, L, M, N.
- On the **Calculations** tab, build the Break-Even &amp; Sensitivity summary (rows 101–106): Scenario B wins at all horizons flag = "YES" if B ≥ A at years 5, 10, and 20 else "NO"; and pull B vs A advantage at 5, 10, 20 years and C vs A advantage at 20 years from the Net Wealth Comparison rows.
- On the **Calculations** tab, build the Loan Payoff Year lookups in C108 and C109 (array formulas returning the first year each scenario's ending loan balance reaches zero for Scenarios A and B).
- On the **Calculations** tab, build the Super Return Sensitivity table for the 20-year horizon (rows 113–119) with gross return inputs of 0, 0, 0.10, 0.10, 0.10, 0.10, 0.10: After-Tax Return = Gross × (1 − Super Earnings Tax); Extra Super Value (B) = (Year-1 Gross SS − Year-1 Contributions Tax) × (1 + After-Tax)^19 + (Year-2 Gross SS − Year-2 Contributions Tax) × annuity factor ((1+r)^19 − 1)/r (with r=0 fallback of 19); B Total Benefit = Extra Super + B Loan Savings at Year 20; A Total Benefit fixed to A Net Wealth Gain at Year 20; B vs A Difference = D − E; Winner = "B" if diff &gt; 0 else "A".
- On the **Calculations** tab, build the Division 293 Impact table (rows 124–129, 131): Without-Div-293 column uses Year-1 Gross SS, its 15% standard tax, 0 Div 293 tax (hardcode 0), total tax, net into super, and Tax Saved = SS × (Marginal+Medicare) − Total Contributions Tax; With-Div-293 column mirrors the same but with Div 293 Extra Tax = SS × 15%; Difference column = With − Without for lines that vary; and Div 293 Cost Over 20 Years (Compounded) = Year-1 Div 293 Extra Tax × (1 + After-Tax Super Return)^20.</t>
        </is>
      </c>
      <c r="H34" s="13" t="inlineStr">
        <is>
          <t>79036bd8-09a6-44ef-a84d-8985ace5476e</t>
        </is>
      </c>
    </row>
    <row r="35" ht="300" customHeight="1">
      <c r="A35" s="13" t="inlineStr">
        <is>
          <t>2a63059e</t>
        </is>
      </c>
      <c r="B35" s="12" t="inlineStr">
        <is>
          <t>APPROVE to generating_prompt. Strip the summary/meta bullets first.</t>
        </is>
      </c>
      <c r="C35" s="13" t="inlineStr">
        <is>
          <t>wangche2532@gmail.com</t>
        </is>
      </c>
      <c r="D35" s="13" t="n">
        <v>1009</v>
      </c>
      <c r="E35" s="13" t="n">
        <v>5820</v>
      </c>
      <c r="F35" s="12" t="inlineStr">
        <is>
          <t>Delete tabs: HealthSys Int. Pro Forma, HealthSys Int. DCF</t>
        </is>
      </c>
      <c r="G35" s="12" t="inlineStr">
        <is>
          <t>- Two new tabs only: **HealthSys Int. Pro Forma** (clone of Partner Int. Pro Forma but wired to I&amp;A "Northstar Integrated P&amp;L" block at rows 222-232+) and **HealthSys Int. DCF** (structurally similar to Partner Int. DCF but with different discount timing, hardcoded WACC/perpetuity inputs, and new Northstar/IRR sections).
- Net-new hardcodes in HealthSys DCF: Perpetuity Growth 0, Discount Rate 0.1, Northstar Equity 0.1, Multiple 6.4, Purchase Price Adjustment 0, and various sensitivity table step values.
- Insert a new `HealthSys Int. Pro Forma` tab by cloning the entire `Partner Int. Pro Forma` structure (header, year strip in row 9, revenue/expense schedule down through EBITDAR at row 95 and D&amp;A at rows 99–100, NWC at row 52, management fee at row 91) and retitle cell B3 to "HealthSys Int. Pro Forma".
- Repoint every driver pull on the new HealthSys Pro Forma from the CHP Integrated P&amp;L block on `I&amp;A` (rows 129–144, phase-in and P&amp;L growth) to the parallel Northstar Integrated P&amp;L block on `I&amp;A` (rows 222–237); specifically the phase-in / decremental / contracting IF-SUM references and the XLOOKUP header-match ranges shift from `I&amp;A!$C$129:$L$129` matched against rows 130/131/132 (etc.) to `I&amp;A!$C$222:$L$222` matched against rows 223/224/225 (etc.), and the year-over-year growth walk on the volume line shifts from `I&amp;A` row 137 to `I&amp;A` row 230.
- Insert a new `HealthSys Int. DCF` tab by cloning the layout of `Partner Int. DCF` (headers, Summary — Pro Forma block, Facility View walk from EBITDAR through Facility UL FCF at row 23, PV/Enterprise Value block, EBITDA multiple grid, sensitivity tables) and retitle B3 to "HealthSys Int. DCF"; repoint every `Partner Int. Pro Forma` reference to `HealthSys Int. Pro Forma`.
- Convert the two top-of-tab DCF assumptions from live pulls off `I&amp;A` to standalone hardcodes on this tab: Perpetuity Growth % = 0 and Discount Rate % = 0.10.
- Replace the simple `Period` half-year build on the Partner DCF (`=1/2`, then `+1` each year) with a `Stub Factor` row that computes, for each forecast year, `YEARFRAC` from the `I&amp;A!$C$12` valuation date to that year's Dec-31 when the year equals the valuation year, 0 when it precedes, and 1 when it follows; terminal column pulls the last stub factor.
- Add a `Subbed Facility UL FCF` row equal to Facility UL FCF × Stub Factor (including the terminal column), inserted before the discount step.
- Add a new mid-year `Period` row that returns Stub Factor / 2 for stub years and `YEARFRAC(I&amp;A!$C$12, DATE(year, 6, 31))` for the valuation-year stub; terminal column equals the final forecast period.
- Rebuild the `Discount Factor` row as `1 / (1 + $C$7) ^ Period` using the new mid-year Period row, and rebuild `PV of Facility UL FCF` as Subbed Facility UL FCF × Discount Factor.
- Roll the PVs into Enterprise Value (SUM across forecast columns plus terminal) and reproduce the Current/2026/2027/2028 EBITDA implied-multiple check block underneath.
- Insert a new Northstar cash-flow block below the multiple block: a `CHP Ownership` row and a `Northstar Ownership` row that each pick between an in-year blend of `I&amp;A!$C$13` × relevant ownership stakes (`I&amp;A!$C$37`, `I&amp;A` row 35) versus the post-valuation-year value, driven by an IF on whether the column year equals `YEAR(I&amp;A!$C$12)`; then a `Northstar UL FCF` = Facility UL FCF × Northstar Ownership, a `(+): Management Fee Profit` line pulling `HealthSys Int. Pro Forma` row 91 × `I&amp;A!$C$22`, a `CHP AT FCF` sum with a Gordon-growth terminal `=(H45×(1+$C$6))/($C$7−$C$6)`, and a `PV of Northstar UL FCF` row multiplying by the new Discount Factor, summing into a `Northstar Enterprise Value`.
- Build two data-table sensitivity grids to the right of the schedule: one on facility Enterprise Value (col C34) and one on Northstar Implied Value (col C49), each with Perpetuity Growth Rate across the top in 1% steps around 0% and Discount Rate down the side in 2% steps around 10%; the axis anchor cells use the pattern `=+N42-1%`, `=+K44-2%`, etc., with the center growth cell hardcoded 0 and the center discount cell hardcoded 0.10.
- Add a FMV bridge block: `Facility EBITDA` pulled from `Partner Int. Pro Forma!$C$95` (current and prior-year columns), `Multiple` hardcoded 6.4, `Implied Enterprise Value (100%)` = EBITDA × Multiple, `(Less): Net Debt` = `SUM('6. FMV Report'!L16:L17)`, `Implied Equity Value` = EV + Net Debt, `Northstar Equity` hardcoded 0.10, `Northstar Equity Purchase` = Implied Equity × Northstar Equity, `(Less): Discount for Lack of Control` pulling `6. FMV Report!$H$20` (current column only; prior column 0), `Marketable, Noncontrolling-Interest Value of Equity` = Purchase × (1 − DLOC), `(Less): Discount for Lack of Marketability` pulling `6. FMV Report!$H$23` (current only; prior 0), `Fair Market Value of Equity` = prior × (1 − DLOM), `Purchase Price Adjustment` hardcoded 0, and finally `Northstar Cash Outlay — Unlevered` = (FMV − Northstar Equity × Net Debt) × (1 + PPA) and `Northstar Cash Outlay — Levered` = FMV × (1 + PPA).
- Build a UL IRR schedule below: a `Dates:` row starting at `I&amp;A!$C$12` with each subsequent column advanced by `=EDATE(prior, 12 × Period)` for the initial forecast columns and then `=EDATE(prior, 12)` extended out through column CX; a `Purchase of Equity` row that plants `−C74` in the anchor column; an `Operating Cashflow` row that lags Northstar AT FCF by one column through the forecast period and then grows at the perpetuity rate `(1 + $C$6)` each column to the end; a `Northstar Health System UL CF` sum row; and `UL IRR` = `XIRR(cash-flow range, dates range)` across C:CX.
- Duplicate the same IRR schedule immediately below using the levered purchase price (`−D74`) instead of the unlevered price to produce a second UL IRR reading on the same date grid and cash-flow lag structure.</t>
        </is>
      </c>
      <c r="H35" s="13" t="inlineStr">
        <is>
          <t>2a63059e-b08b-495f-90df-23bb38eccd3f</t>
        </is>
      </c>
    </row>
    <row r="36" ht="300" customHeight="1">
      <c r="A36" s="13" t="inlineStr">
        <is>
          <t>8c19520c</t>
        </is>
      </c>
      <c r="B36" s="12" t="inlineStr">
        <is>
          <t>APPROVE to generating_prompt.</t>
        </is>
      </c>
      <c r="C36" s="13" t="inlineStr">
        <is>
          <t>wangche2532@gmail.com</t>
        </is>
      </c>
      <c r="D36" s="13" t="n">
        <v>950</v>
      </c>
      <c r="E36" s="13" t="n">
        <v>5089</v>
      </c>
      <c r="F36" s="12" t="inlineStr">
        <is>
          <t>Delete tabs: Non-Compete Amort - Base, Mgmt Agreement Amort - Base, D&amp;A Calculator Inputs - Base, DCF &amp; IRR - Base
Clear content: D&amp;A &amp; Debt - Base!H11:CH17 (amortization and total D&amp;A rows), Pro Forma - Base!F72:CZ194 (D&amp;A, NOPAT, after-tax cash and IRR feed rows only), I&amp;A!E172, DCF &amp; IRR - Int!K160</t>
        </is>
      </c>
      <c r="G36" s="12" t="inlineStr">
        <is>
          <t>- Add a new `D&amp;A Calculator Inputs - Base` tab, cloned from `D&amp;A Calculator Inputs - Int.`, with all internal references (pulls from `Pro Forma`, `D&amp;A &amp; Debt`, `Non-Compete Amort`, `Mgmt Agreement Amort`, `DCF &amp; IRR`) rewired from the `- Int.` versions to the `- Base` versions, and with I&amp;A driver references shifted to the Base-Case rows on the I&amp;A tab (e.g., tax rate to I&amp;A `$M$19`, hurdle rate to I&amp;A `$E$102`, hurdle table to `$E$105:$I$107`, wind-down to `$G$126`, capex row to I&amp;A row 151, existing depreciation totals to `D&amp;A &amp; Debt - Base` column CD); label the pro forma index block "Input Pro Forma - Base" and delete the stale hardcoded value that appeared in the Int. version at row 40 col 12.
- Add a new `Non-Compete Amort - Base` tab, cloned from `Non-Compete Amort - Int.`, with every reference to `D&amp;A Calculator Inputs - Int.` and `Non-Compete Amort - Int.` rewired to their new `- Base` counterparts (Mgmt Agreement links stay pointed at the Int. tab per the source pattern).
- Add a new `Mgmt Agreement Amort - Base` tab, cloned from `Mgmt Agreement Amort - Int.`, with references to `D&amp;A Calculator Inputs - Int.`, `Mgmt Agreement Amort - Int.`, and `Pro Forma - Int` rewired to `D&amp;A Calculator Inputs - Base`, `Mgmt Agreement Amort - Base`, and `Pro Forma - Base`.
- On the `I&amp;A` tab, wire the previously-blank "Modeled Year 1 Non Compete Amz" input under the "Amortization - Base:" block to pull from the new `D&amp;A Calculator Inputs - Base` cell F10 (so the Base amortization inputs mirror the Integrated block just above it).
- Fill in the previously-empty Base Case amortization rows on the `D&amp;A &amp; Debt - Base` schedule so it fully mirrors `D&amp;A &amp; Debt - Int`: add the Amortization (Post-Close) row driven by the Non-Compete and Mgmt Agmt amounts and periods divided by 12 (gated to zero pre-close), the Post-Close Amz (Non Compete) and Post-Close Amz (Mgmt Agmt) input labels/values pulling from I&amp;A rows 172/175 (amounts) and rows 173/176 (amortization periods), the Total D&amp;A summation row, the Total Amortization row echoing the Amortization row, and the Check row equal to Total D&amp;A less Total Depreciation less Total Amortization.
- Populate the previously-empty rows on `Pro Forma - Base` so it mirrors `Pro Forma - Int`: pull the Amortization line from `D&amp;A &amp; Debt - Base` row 16, compute Pre-Tax Income as Gross Profit less operating deductions, and build the NOPAT line combining pre-tax income at the ASP share and non-operating items at the corporate tax rate from I&amp;A `$E$147`.
- On `Pro Forma - Base`, build the UL AT ASP Cash block (rows in the 111–119 band) mirroring the Int. version: LESS: ASP Taxes on Facility Earnings = MIN of −(pre-tax + interest)·ASP share·tax rate and 0; UL AT ASP Cash = sum of the block; MHG UL ASP Cash for IRR = UL AT ASP Cash plus the terminal/adjustment row below it.
- On `Pro Forma - Base`, build the parallel UL AT Facility Cash block (rows in the 121–129 band): LESS: Taxes on Facility Earnings gated to zero when Pre-Close otherwise MIN(−(pre-tax + interest)·tax rate, 0); UL AT Facility Cash as the block sum; MHG UL Facility Cash for IRR as UL AT Facility Cash plus the row-128 adjustment.
- On `Pro Forma - Base`, build the Facility Levered AT ASP Cash block (rows 144–152): ASP Taxes on Facility Earnings = MIN(0, −pre-tax·ASP share·tax rate); Facility Levered AT ASP Cash as the block sum; MHG FL Cash for IRR as sum plus row-151 adjustment.
- On `Pro Forma - Base`, build the Facility Levered AT Cash block (rows 154–162): Taxes on Facility Earnings = MIN(0, −pre-tax·tax rate); Facility Levered AT Cash as the block sum; MHG FL Facility Cash for IRR as sum plus row-161 adjustment.
- On `Pro Forma - Base`, build the IOI block: the switch row that returns either the Consolidated IOI (row 173) or the Non-Consolidated IOI (row 178) based on `I&amp;A`!$E$12; LESS: D&amp;A gated to zero when ASP share is 0% else −sum of the two D&amp;A rows; IOI [C] gated to zero Pre-Close else sum of the block; Pre-Tax Income = 0 if ASP share = 0% else Pre-Tax Income line; LESS: Non-Controlling Income = −Pre-Tax·(1−ASP share); IOI [E] as sum of the block.
- On `Pro Forma - Base`, build the E-NCI block analogously: the Consolidated/Non-Consolidated switch (row 182); LESS:NCI = 0 if ASP share = 0% else −Pre-Tax·(1−ASP share); E-NCI [C] gated to zero Pre-Close else block sum; Pre-Tax Income and Non-Controlling Income (row 191/192) mirroring the IOI logic; E-NCI [E] as block sum.
- Add a new `DCF &amp; IRR - Base` tab, cloned from `DCF &amp; IRR - Int`, with the title renamed to "DCF, IRR, Sensitivity &amp; ROIC - Base Case", the Equity Value/EV header changed to "Equity Value (Purchase Price)", the "g" label above the sensitivity area removed, and all references to `Pro Forma - Int` rewired to `Pro Forma - Base`; also point the working-capital tax driver in rows 17 and 50 from I&amp;A `$M$13` to I&amp;A `$M$19` to use the Base-Case tax assumption.
- Insert into the `DCF &amp; IRR - Int` tab a small cross-reference block next to the Enterprise Value sensitivity that labels "Base Case IRR" and pulls its value from `DCF &amp; IRR - Base`!D164.</t>
        </is>
      </c>
      <c r="H36" s="13" t="inlineStr">
        <is>
          <t>8c19520c-b2d2-449b-a1f8-b426e81df053</t>
        </is>
      </c>
    </row>
    <row r="37" ht="300" customHeight="1">
      <c r="A37" s="13" t="inlineStr">
        <is>
          <t>95606585</t>
        </is>
      </c>
      <c r="B37" s="12" t="inlineStr">
        <is>
          <t>APPROVE to generating_prompt. Strip the summary/meta bullets first.</t>
        </is>
      </c>
      <c r="C37" s="13" t="inlineStr">
        <is>
          <t>wangche2532@gmail.com</t>
        </is>
      </c>
      <c r="D37" s="13" t="n">
        <v>800</v>
      </c>
      <c r="E37" s="13" t="n">
        <v>7449</v>
      </c>
      <c r="F37" s="12" t="inlineStr">
        <is>
          <t>Clear content: Incremental Volume - Monthly!B31:P70, Pro Forma!I3:AB31, Pro Forma!I81:AB133, Inputs &amp; Assumptions!B102:J138</t>
        </is>
      </c>
      <c r="G37" s="12" t="inlineStr">
        <is>
          <t>- input_workbook_url = earlier = less built
- output_workbook_url = later = more built
- On `Incremental Volume - Monthly`, add the monthly period header row spanning "TTM / Monthly" plus "Month 1" through "Month 12" that will serve as the column framework for every schedule that follows.
- Build the monthly Volume schedule on `Incremental Volume - Monthly`: a "Volume - Base" row seeded from `Pro Forma` annual Surgical Cases divided by 12, grown into Month 1 by the Case Volume % Growth assumption and then pulled forward from the TOTAL VOLUME line thereafter; four service-line ramp rows (Pain, GEN, ORT, OPT) that place each physician's Annual Incremental / 12 into Month 7 (leaving prior months blank); and a "TOTAL VOLUME" row that sums Base plus the four specialties for each month.
- Build the monthly NPR schedule directly below: a "Revenue - Base" row seeded from `Pro Forma` annual NPR / 12, stepped up in Month 1 by the NPR/Case % Growth assumption and then rolled forward from the TOTAL NPR line; four specialty NPR rows (Pain, GEN, ORT, OPT) computed as monthly incremental specialty volume times the NPR/Case looked up from the Metrics by Specialty table (VLOOKUP column 2 with an IF guard that only fires when that month's specialty volume is positive); and a "TOTAL NPR" sum row.
- Build the monthly SWB schedule with the same pattern: an "SWB - Base" row seeded from `Pro Forma` annual SWB / 12 with a Month 1 step that layers in the standard SWB/Case growth and, when the current month equals the HR Savings timing month, additionally applies the HR Savings % (subsequent months apply the HR Savings % only in the designated month via the same IF against the timing month); four specialty rows using VLOOKUP column 3 from the Metrics table times the specialty monthly volume; and a "TOTAL SWB" sum row.
- Build the monthly Supplies schedule identically to SWB but using the Supplies/Case standard growth assumption and the SCO Savings % keyed to the SCO Savings timing month, with the four specialty rows pulling VLOOKUP column 4 and rolling into a "TOTAL SUPPLY" sum row.
- Add a "Model KPIs" block at the bottom of `Incremental Volume - Monthly` with four per-case metrics (Volume, NPR/Case, SWB/Case, Supply/Case) computed for the TTM column and each of the 12 forward months by dividing the schedule totals above by TOTAL VOLUME.
- On `Pro Forma`, add the projection column header framework: a monthly period axis in row 5 starting with the hardcoded value 1 and cascading +1 across twelve columns, "Year 1" through "Year 5" labels for the annual projection columns, and a "5 Year CAGRs" label over the CAGR column; also add two Volume Growth cells at row 3 computing Year 1 total minus TTM and Year 2 minus Year 1.
- Add the driver / assumptions section on `Pro Forma` (rows below the metric block) that will feed the projection. This section contains: Ownership rows (Physician / SCA / Other) pulling `Inputs &amp; Assumptions` G6:G8 for TTM and I6:I8 for the Year 1 column, held flat across Years 2–5, with a Total Ownership sum; a Monthly Organic Case Volume (%) row pulling `Inputs &amp; Assumptions` row 106 for Years 2–5 and computing Year 1 as Year 1 volume / TTM − 1; a "SEASONALITY ADJUSTMENT" label row; a Net Patient Revenue per Case (%) row pulling row 110 for Years 2–5 with Year 1 as U83/H83 − 1; an Other Revenue (%) row pulling `Inputs &amp; Assumptions` F111/Q111/H111/I111/J111 for the monthly and annual columns; Operating per-case % rows for Incremental Volume SWB (row 116, Years 2–5, Year 1 computed as U84/H84 − 1), Supplies (row 117, Year 1 as U85/H85 − 1), Other Variable – Direct (row 118), and Other Variable – Indirect (row 119 with Year 1 as U87/H87 − 1); % Annual Increase rows for Rent (row 122) and Other Fixed Expenses (row 123); a Bad Debt % of Net Revenue row pulling row 126 with historicals computed as bad debt / total net revenue; three Management Fee % rows (Current from row 130, SCA from rows 131/133, Other from row 134) with historicals computed as fee / (NPR − Bad Debt); and an SCA Tax Rate row pulling row 138.
- On `Pro Forma`, extend Surgical Cases (row 8) into the 12 monthly columns by pulling each month's TOTAL VOLUME from `Incremental Volume - Monthly` row 67 multiplied by (1 + the corresponding SEASONALITY ADJUSTMENT cell in row 103); set the annual total column as the SUM of the twelve months; set Year 2 as the last-month total × 12 × (1 + `Inputs &amp; Assumptions` G106); and grow Years 3–5 by the annual case-volume % change row.
- On `Pro Forma`, add the per-case metric drivers that feed the P&amp;L: Net Patient Revenue / Case (row 83), SWB / Case (row 84), and Supplies / Case (row 85) each pulling the monthly per-case values directly from the `Incremental Volume - Monthly` KPI rows for the twelve monthly columns, computing the annual column as annual $ / annual volume, and growing Year 2 by the corresponding `Inputs &amp; Assumptions` row (110 / 116 / 117) and Years 3–5 by the annual per-case % change row; Other Variable – Direct / Case (row 86) computed as the TTM per-case value grown once by the Year 1 rate and held flat for the twelve months, with Years 2–5 growing off the annual assumption row; Other Variable – Indirect / Case and Other Fixed Expenses / Case computed simply as $ / volume across all forward columns; and Bad Debt / Total Net Revenue computed as $ / total net revenue across all forward columns.
- On `Pro Forma`, project the P&amp;L lines across the twelve monthly columns and the five annual columns: Net Patient Revenue = NPR/Case × Cases; SWB = SWB/Case × Cases; Supplies = Supplies/Case × Cases; Other Variable – Direct = per-case rate × Cases; Other Variable – Indirect = TTM annual / 12 × (1 + Year 1 %) for each month (adding a hardcoded seed pulled from `Inputs &amp; Assumptions` B40 into Month 1), then Year 2 = last-month × 12 × (1 + Year 2 %) and Years 3–5 grown by annual %; Rent and Other Fixed Expenses = TTM annual / 12 × (1 + Year 1 %) held flat across the twelve months, then Year 2 = last-month × 12 × (1 + Year 2 %) with Years 3–5 grown by annual %; Other Revenue = prior column / 12 × (1 + Year 1 %) for the monthly cascade with annual columns growing off the annual driver; and Bad Debt = Bad Debt % × Total Net Revenue for every column.
- On `Pro Forma`, add the aggregation and management-fee logic across the projection: Total Net Revenue as SUM of NPR + Other Revenue for every projection column (with the annual-total column summing the twelve monthly values); EBITDAM as Total Net Revenue minus the sum of SWB through Bad Debt; three management-fee rows (Current, SCA, Other) computed as (NPR − Bad Debt) × the corresponding fee % row (Current uses the row-level %, SCA uses a fixed anchor to the Year 1 driver `$I$128` across the monthly columns and then the annual % for Years 2–5); and EBITDA as EBITDAM minus the sum of the three fee rows.
- On `Pro Forma`, extend the two margin ratio rows (EBITDAM Margin and EBITDA Margin) and the per-case KPI rows (NPR/Case, SWB/Case, Supplies/Case, Other Variable – Direct/Case, Other Variable – Indirect/Case, Other Fixed/Case, Bad Debt/Total Net Revenue) across all projection columns using the same divide-by-Total-Net-Revenue-or-Cases formulas, and populate the "5 Year CAGRs" column at row 27 for Surgical Cases, Total Net Revenue, EBITDAM, EBITDA, and each per-case KPI using an ISERROR-wrapped (Year 5 / TTM)^(1/5) − 1 (with the per-case rows using the un-wrapped formulation).</t>
        </is>
      </c>
      <c r="H37" s="13" t="inlineStr">
        <is>
          <t>95606585-8665-475b-ac9c-eb5fae04a8f6</t>
        </is>
      </c>
    </row>
    <row r="38" ht="300" customHeight="1">
      <c r="A38" s="13" t="inlineStr">
        <is>
          <t>1ef09f14</t>
        </is>
      </c>
      <c r="B38" s="12" t="inlineStr">
        <is>
          <t>APPROVE to generating_prompt.</t>
        </is>
      </c>
      <c r="C38" s="13" t="inlineStr">
        <is>
          <t>sophie.xiao@toptal.com</t>
        </is>
      </c>
      <c r="D38" s="13" t="n">
        <v>681</v>
      </c>
      <c r="E38" s="13" t="n">
        <v>7866</v>
      </c>
      <c r="F38" s="12" t="inlineStr">
        <is>
          <t>Added two tabs - Financial &amp; Valuation Sum, Summary</t>
        </is>
      </c>
      <c r="G38" s="12" t="inlineStr">
        <is>
          <t>- On a new "Summary" tab, build a five-year header row (Year 1 through Year 5) and lay out the section labels ("Primary Care", "Surgery Centers", "Central Lab", "Central Imaging") that will anchor the roll-up blocks.
- Build the Primary Care block on the Summary tab by pulling Year 1–5 Visits, Revenue, Depreciation, Capital Expenditures, and Debt Payments directly from the PCP Proforma; construct Salary and Benefits as the sum of the PCP Proforma physician, APC, and staff comp lines; pull Operating Expenses from the PCP Proforma; then calculate Total Expenses (Salary+OpEx), EBITDA (Revenue − Total Expenses), Net Income (EBITDA − Depreciation), Net Cash Flow (EBITDA − CapEx − Debt Payments), and IOI (equal to Net Income).
- Build the Surgery Centers block on the Summary tab by linking Year 1–5 Cases, Revenue, EBITDA, Net Income, Net Cash Flow, and IOI directly from the ASC Proforma; add a "Parent Net Cash Flow" line equal to ASC Net Cash Flow × parent ownership % (pulled from Assumptions) plus the ASC Proforma parent-level add-back line.
- Build the Central Lab block on the Summary tab, populated only for Years 3–5, by linking Revenue and Operating Expenses from the Lab Proforma, calculating EBITDA as Revenue − OpEx, and pulling Net Income, Net Cash Flow, and IOI from the Lab Proforma.
- Build the Central Imaging block on the Summary tab, populated only for Years 3–5, by linking Revenue and Operating Expenses from the imaging proforma, calculating EBITDA as Revenue − OpEx, and pulling Net Income, Net Cash Flow, and IOI from the imaging proforma.
- Add a combined roll-up section on the Summary tab that sums Combined EBITDA, Combined Cash Flows, and Combined IOI across the four business lines by year.
- Add a "Capital Outlay Summary" block on the Summary tab with columns Year 1, Year 2, Year 3, and Cumulative; link Office Buildout and Working Capital for PCP to the corresponding Assumptions cells for each year; hardcode Lab Startup at 0 in Years 1–2 and pull Year 3 as the sum of the two lab startup cells on Assumptions; hardcode Imaging Startup at 0 in Years 1–2 and pull Year 3 as the sum of the four imaging startup cells on Assumptions; sum each column and the row totals for Total Capital Outlay.
- Add an "IRR Calculations" block on the Summary tab with headers Year 0 through Year 5; place Total Capital Outlay in Year 0, Year 2, and Year 3 as negative Capital Outlay × (1 + premium hardcode reference, left blank in base case); build after-tax cash-flow rows for PCP, ASC, Lab, and Imaging each as the corresponding Summary net-cash-flow line × (1 − tax rate from Assumptions), with Lab and Imaging hardcoded to 0 in Years 1–2; add a Terminal Value row in Year 5 computed as Total Year 5 Cash × (1 + Growth Rate) / (Discount Rate − Growth Rate); sum each year to Total Cash Flow; compute Projected IRR as IRR of Year 0 through Year 5 total cash flows.
- Add a Discounted Cash Flow sub-block on the Summary tab with a half-year discount convention starting at 0.5 in Year 1 and incrementing by 1 each subsequent year; discount each after-tax cash-flow line (Capital Outlay, PCP, ASC, Lab, Imaging, Terminal Value) using POWER((1 − Discount Rate), period); sum discounted flows into "Value of Cash Flows (EV)" by year and total; add a "Total Invested Capital" cumulative running-sum row across Year 0–5.
- Add DCF sensitivity inputs on the Summary tab: Discount Rate hardcoded at 10%, Growth Rate hardcoded at 0%, and Total Year 5 Cash summed from the four Year 5 after-tax business-line cash flows; build a sensitivity matrix with a five-column premium/discount vector (−20%, −10%, 0%, +10%, +20%) applied to the base Terminal Value rows for years 2018 through 2022; hardcode the base Year 5 terminal-value amounts as −4,286,999.45, −6,601,799.23, −15,873,998.90, −15,873,998.90, and −15,873,998.90 for the 2018–2022 stack; use a TRANSPOSE array pulling the year headers from the "2. Financial &amp; Valuation Sum" tab; compute EV/Purchase-price ratios by dividing each 2018 base value by the sensitivity table amounts.
- Create a new "2. Financial &amp; Valuation Sum" tab with title block ("Regional Surgery Center Group", "Cedarbrook Clinic Holdings (De Novo Physician Practice)", "Financial and Valuation Summary") and a year header row running FYE December 31, 2015 through 2022.
- Build the Financial Summary block on the "2. Financial &amp; Valuation Sum" tab: Patient Visits and Total Revenue linked from the Summary tab; PCP Net Patient Revenue per Visit pulled from the PCP Proforma; APC Net Patient Revenue per Visit computed as PCP rate × APC factor on Assumptions; Weighted Net Patient Revenue per Visit computed as Total Revenue ÷ Visits; % Growth rows using IFERROR ratios for each revenue line; Other Revenue placeholder rows with % Growth.
- Build the operating-expense section on the "2. Financial &amp; Valuation Sum" tab: Salaries/Wages/Benefits Expense and Other Operating Expenses linked from the Summary tab; Supplies Expense placeholder with % of Revenue and Cost per Case; Integration Costs hardcoded at 0 for each year; Total Operating Expenses as sum of the four lines; Cost per Case as Total OpEx ÷ Visits; % of Total Revenue ratios on each expense line.
- Build the EBITDA/IOI section on the "2. Financial &amp; Valuation Sum" tab: EBITDA – Medical Group (PCP Only) as Revenue − Total OpEx with margin %; separate EBITDA lines for ASCs, Lab, and Imaging linked from the Summary tab; EBITDA – Consolidated as PCP + sum of the other three; IOI – Consolidated linked from Summary Combined IOI, with % of EBITDA and % of Revenue ratios.
- Build the Key Metrics Summary block on the "2. Financial &amp; Valuation Sum" tab: Partner Ownership % hardcoded at 100% for each year; Employed Physicians, Employed APCs, Office Locations, and Providers per Office Location all pulled from the Assumptions row-set; Patient Encounters per Provider = Visits ÷ (Physicians + APCs); Surgical Referrals per Provider = ASC Cases ÷ (Physicians + APCs); Salary per Physician and Salary per APC computed from PCP Proforma comp ÷ headcount; Patients per Office Location computed as Visits ÷ Office Locations in Year 1 and as (Visits ÷ Offices ÷ 260) ÷ patients-per-day hardcode of 10 plus Visits ÷ Offices for Years 2–5; % Growth rows using IFERROR ratios; APC hardcode of 8 as a reference input.
- Add the Parent Management Fee Profit line on the "2. Financial &amp; Valuation Sum" tab with Year 1–5 values hardcoded at 250,454.5, 269,904.3, 283,896.5, 295,647.6, and 310,883.7, and % Growth ratios.
- Add the Case Forecast by Specialty section on the "2. Financial &amp; Valuation Sum" tab: five specialty rows (with "Other Specialties" labelled) each with % Growth IFERROR ratios; Total Cases as sum of the five specialty rows with its own % Growth line.
- Build the DCF Sensitivity Analysis block on the "2. Financial &amp; Valuation Sum" tab: two side-by-side sensitivity tables ("Enterprise Value" and "EV / 2022P IOI (Parent Share Only)") each keyed to Perpetuity Growth Rate; pull EV values from the Summary DCF sensitivity matrix; compute EV/IOI ratios by dividing each EV cell by the Consolidated 2022P IOI.
- Build the Purchase Price Sensitivity Analysis block on the "2. Financial &amp; Valuation Sum" tab: layout with Transaction Comparison (Post-Dilution vs. At-LOI) and a Capital Outlay Sensitivity table with premium vector −20%, −10%, 0%, +10%, +20%; link Capital Outlay, Mgmt Fee Buyout (Year 1, Year 2, Years 3–5), and Debt Assumed rows from the Summary Capital Outlay block; scale each line by (1 + premium); build Purchase Price = Capital Outlay; compute Purchase Price / 2018P IOI and Purchase Price / 2022P IOI ratios; add an IRR row pulling the Summary IRR and a TRANSPOSE array of Summary IRR values across the premium scenarios; add stacked year-label and physician-owner reference rows for 2018–2022 pulled from the Key Metrics section.</t>
        </is>
      </c>
      <c r="H38" s="13" t="inlineStr">
        <is>
          <t>1ef09f14-3119-434f-b561-884e196c6caa</t>
        </is>
      </c>
    </row>
    <row r="39" ht="300" customHeight="1">
      <c r="A39" s="13" t="inlineStr">
        <is>
          <t>40827f51</t>
        </is>
      </c>
      <c r="B39" s="12" t="inlineStr">
        <is>
          <t>APPROVE to generating_prompt.</t>
        </is>
      </c>
      <c r="C39" s="13" t="inlineStr">
        <is>
          <t>apathy@uchicago.edu</t>
        </is>
      </c>
      <c r="D39" s="13" t="n">
        <v>661</v>
      </c>
      <c r="E39" s="13" t="n">
        <v>9279</v>
      </c>
      <c r="F39" s="12" t="inlineStr">
        <is>
          <t>Cleared FinSum.</t>
        </is>
      </c>
      <c r="G39" s="12" t="inlineStr">
        <is>
          <t>- Build the date header row for the three statements: enter a fiscal-year label row that pulls the latest fiscal year end from the header assumption and derives each prior year by subtracting one and each forecast year by adding one, plus a fiscal-year-end date row that ties the current column to the latest fiscal year end and rolls prior/forward columns by EOMONTH ±12 months.
- Complete the Income Statement section: add the "INCOME STATEMENT" title, add labels for Gross Profit, Operating profit (EBIT), Interest income, Interest expense (enter as -), Pretax profit, and Net income; for forecast columns, grow revenue by the revenue-growth driver, derive Cost of sales as Gross Profit minus Revenue, compute Gross Profit as Revenue × gross-margin driver, R&amp;D as -R&amp;D%-of-sales × Revenue, SG&amp;A as -SG&amp;A%-of-sales × Revenue, EBIT as the sum of gross profit plus opex lines, interest income pulled from the interest schedule, interest expense as negative of the interest expense schedule, Other expense held flat at the last historical value, Pretax profit as EBIT plus non-operating items, Taxes as -tax rate × Pretax profit, and Net income as the sum.
- Add the D&amp;A pull-through and EBITDA block: pull Depreciation &amp; amortization for forecast years from the total D&amp;A schedule, compute EBITDA as EBIT plus D&amp;A, grow Stock-based compensation by the revenue-growth rate, and compute Adjusted EBITDA as EBITDA plus SBC.
- Build the "Growth rates &amp; margins" driver block below the income statement: compute historical revenue growth, gross margin, R&amp;D%, SG&amp;A%, and tax rate directly from the historical hardcodes; for forecast years pull revenue growth, gross margin, R&amp;D%, and SG&amp;A% from the scenario-lookup output block, and hold the tax rate flat at the last historical value.
- Build the Balance Sheet section: add the "BALANCE SHEET" title, mirror the date headers from the income statement, add labels for Cash &amp; equivalents/ST and LT marketable securities, Other current assets, Total assets, Total liabilities, Long term debt (includes current portion), and Total equity; roll Cash forward by adding net change in cash from the cash flow statement, scale Accounts receivable and Accounts payable by the cost-of-sales growth ratio, grow Inventories, Other current assets, Other current liabilities, Deferred revenue, and Other non-current liabilities by revenue-growth, pull PP&amp;E from the PP&amp;E schedule, pull Commercial paper/revolver from the revolver schedule, hold Long term debt flat, roll Common stock forward by adding SBC, pull Retained earnings from the retained earnings schedule, hold Other comprehensive income flat, and add a rounded balance check row (assets − liabilities − equity). Enter the historical Cash &amp; equivalents hardcodes as the sum of the three cash components (23646+24658+120805, 29965+31590+100544, 29943+35228+91479, 35934+18763+77723), Other current assets as 14695+31477, 14287+32833, 14585+33180, and Long term debt as 9822+95281, 10912+85750, 12350+78328.
- Build the Cash Flow Statement section: add the "CASH FLOW STATEMENT" title and mirrored date headers; add labels for Net income, Depreciation and amortization, Stock based compensation, Decreases/(Increases) in working capital assets, Increases/(Decreases) in working capital liabilities, Other non current assets, Other non current liabilities, Cash from operating activities, Capital expenditures, Cash from investing activities, Long term debt, Commercial paper/Revolver, Share repurchases, Common dividends, Cash from financing activities, and Net change in cash during period. Pull Net income, D&amp;A, and SBC from the income statement; compute working-capital-asset change as prior-period sum minus current-period sum of AR/Inventories/OCA and working-capital-liability change as current minus prior sum of AP/OCL/Deferred revenue; pull Other non-current-assets additions from the ONCA schedule (negative), compute Other non-current-liabilities change as period-over-period delta; sum operating cash; set Capex as -Capex from the PP&amp;E schedule and wrap Cash from investing in IFERROR; compute LTD and revolver changes as period-over-period B/S deltas; pull dividends and repurchases from the retained-earnings schedule; sum financing cash; and sum the three sub-totals for net change in cash.
- Build the PP&amp;E schedule: add "PROPERTY, PLANT &amp; EQUIPMENT" title with mirrored date headers, add a "Forecast" flag column, and add rows for Beginning of period (prior EOP), Plus: Capital expenditures, Less: Depreciation, End of period (sum of the three); tie historical EOP to the balance sheet, compute historical D&amp;A-related-to-capex ratio as -Depreciation/Capex, take the historical three-year average as the first forecast ratio and step subsequent forecast ratios by a "Step" adjustment defaulting to 0, and grow forecast capex for the last two forecast years by revenue growth. Enter Step of 0 as the increment driver.
- Build the "IMPUTING TOTAL DEPRECIATION &amp; AMORTIZATION" block: derive historical D&amp;A not related to PP&amp;E as total D&amp;A minus PP&amp;E depreciation, compute historical "as % of revenue," hold that ratio flat for forecast years, apply it to revenue for forecast D&amp;A-not-related-to-PP&amp;E, and compute total forecast D&amp;A as PP&amp;E depreciation plus the non-PP&amp;E component to feed the income statement and cash flow statement.
- Build the "OTHER NON-CURRENT ASSETS" schedule: Beginning of period from prior EOP, Less: Amortization of intangible assets as negative of the non-PP&amp;E D&amp;A component, Plus: Additions as the plug that reconciles to End of period, and End of period tied to the balance sheet (historicals) / carried forward from the additions plug (forecasts) to feed the CFS other-non-current-assets line.
- Build the "RETAINED EARNINGS" schedule: Beginning of period from prior EOP, Plus: Net income from the income statement, Less: Dividends scaled forward by the ratio of prior-period dividends to prior-period net income, Less: Repurchases held flat at the last historical value, End of period as the sum; ties into the balance sheet Retained earnings line and feeds the CFS dividend and repurchase lines.
- Build the "REVOLVER (MODEL PLUG)" schedule: add title and mirrored date headers, then a "Revolver needs analysis" block computing Cash at BOP (prior-period cash), a minimum-cash-balance driver row, plus Free cash flows generated during period (sum of operating, investing, LTD change, repurchases, and dividends), equaling Cash available/(needed) to pay down/draw revolver; then a "Commercial paper/Revolver" roll-forward with Beginning of period, Draw/(paydown) computed as -MIN(cash available, BOP revolver balance), a discretionary borrowing/(paydown) driver row, and End of period as the sum; tie historical EOP to the balance sheet and add a Debt balance check that flags "Negative Debt" if EOP &lt; 0, else "OK." Enter minimum cash balance of -50000 across forecast years and discretionary borrowing of 12000 across forecast years.
- Build the "INTEREST EXPENSE AND INTEREST INCOME" schedule: title and mirrored date headers, then a Total interest expense line (historical = -IS interest expense; forecast = revolver interest + LTD interest). Add a Commercial Paper/Revolver sub-block with a weighted-average interest rate driver row (held flat from the last historical), End of period balance pulled from the B/S, and Interest expense = average of prior/current EOP × interest rate, wrapped in an IF on the circuit-break switch (D7=1). Add a Long term debt sub-block with EOP balance pulled from the B/S, weighted-average interest rate imputed historically as interest expense/average balance and held flat forward, and interest expense = rate × average balance. Add an Interest rate on cash sub-block with historical rates computed as historical other-expense-net hardcodes divided by average cash (565/AVERAGE(D45:E45), 269/AVERAGE(E45:F45)), a weighted-average rate held flat forward from the last historical, and Interest income = average cash × rate, gated on the circuit-break switch.
- Build the "EARNINGS PER SHARE" section: mirrored date headers, Net income pulled from the income statement, Basic shares row computed historically as Net income / Basic EPS hardcode and rolled forward by adding (-repurchases + new share issuances)/average share price, forecast Basic EPS = Net income / Basic shares, Diluted shares rolled forward by prior diluted plus the current basic-share change, forecast Diluted EPS = Net income / Diluted shares. Add supporting inputs: $ amount of shares repurchased = -CFS repurchases, $ amount of new shares issued = SBC, Average share price rolled forward by a Share price increase driver computed as year-over-year net-income growth, and a Basic Shares BOP → Net change → EOP → Average roll-forward starting from the shares-outstanding assumption in the header.
- Build the "SCENARIO ANALYSIS" output block that feeds the forecast growth/margin drivers: an Active case label pulling the selected scenario from the header dropdown, a Variance-from-base-case header row with mirrored dates, and OFFSET/MATCH lookup rows for Revenue growth, Gross profit margin, R&amp;D % of sales, and SG&amp;A % of sales that index into the existing scenario input table by matching on the active case selector and the metric label.</t>
        </is>
      </c>
      <c r="H39" s="13" t="inlineStr">
        <is>
          <t>40827f51-9058-4a34-aa53-cffedf1af118</t>
        </is>
      </c>
    </row>
    <row r="40" ht="300" customHeight="1">
      <c r="A40" s="13" t="inlineStr">
        <is>
          <t>8f99bcd7</t>
        </is>
      </c>
      <c r="B40" s="12" t="inlineStr">
        <is>
          <t>APPROVE to generating_prompt.</t>
        </is>
      </c>
      <c r="C40" s="13" t="inlineStr">
        <is>
          <t>mshuriah2702@gmail.com</t>
        </is>
      </c>
      <c r="D40" s="13" t="n">
        <v>638</v>
      </c>
      <c r="E40" s="13" t="n">
        <v>6592</v>
      </c>
      <c r="F40" s="12" t="inlineStr">
        <is>
          <t>Removed 5. FinSum tab</t>
        </is>
      </c>
      <c r="G40" s="12" t="inlineStr">
        <is>
          <t>- Build the header/timeline block: pull the deal name from the Vol &amp; Fin Inputs banner, stamp TODAY() as the report date, and set section labels for Historicals, Base Case, Integrated Case, plus CAGR and Checks columns. Anchor the Base-Case start period from BASE - P&amp;L (period header row), then roll it forward by EOMONTH(prior, 12) for the five remaining years; anchor the Integrated-Case period columns directly from the INT - P&amp;L date header row. Derive YEAR() row above the dates for use as XLOOKUP match keys. Populate three historical year columns by linking to Vol &amp; Fin Inputs. Add CAGR column headers dynamically as "startYYYY-endYYYY" strings, with a fixed "5YR" tag underneath.
- Build the volume block (Total Cases and % Growth): historicals from Vol &amp; Fin Inputs; Base years from BASE - P&amp;L cases row (direct column links); Integrated years via XLOOKUP on the year key against the INT - P&amp;L header row into the INT - P&amp;L cases row. Add a 5-year CAGR for each case ((end/start)^(1/5)-1) with IFERROR "N/A". Add % Growth as current/prior − 1, using the last historical year as the pivot for the first forecast year of each case. Add checks columns: Base sum minus BASE - P&amp;L direct sum; Integrated case delta vs Base; Integrated case check vs INT - P&amp;L totals.
- Build the revenue block: same three-source pattern — Vol &amp; Fin Inputs for historicals, BASE - P&amp;L direct links for Base years, XLOOKUP into the INT - P&amp;L revenue row for Integrated years. Add a Revenue per Case line = Revenue / Cases × 1000 with IFERROR, a % Growth line, a % Growth per Case line, plus 5-year CAGR and check columns mirroring the volume block.
- Build the Operating Expenses block: historicals as Vol &amp; Fin Inputs total costs minus other mgmt fee (D28-D27 pattern); Base years linked directly from BASE - P&amp;L opex row; Integrated years via XLOOKUP into INT - P&amp;L opex row. Add "% of Total Revenue" line below and 5-year CAGRs.
- Build EBITDA (Pre-Mgmt. Fee) = Revenue − Operating Expenses across all columns, with a % Margin line = EBITDA / Revenue, plus 5-year CAGRs and Base/Integrated check columns tied to BASE - P&amp;L and INT - P&amp;L EBITDA rows.
- Add Integration &amp; OM Expenses row for Integrated years only: negative sum of the integration and OM expense rows in INT - P&amp;L via XLOOKUP. Then Integrated EBITDA (Pre-Mgmt. Fee) = EBITDA (Pre-Mgmt. Fee) + Integration &amp; OM Expenses, with a % Margin line.
- Add SCA Mgmt. Fee row (Integrated years only, negative XLOOKUP into the INT - P&amp;L SCA mgmt-fee row) and Other Mgmt. Fee row (historicals from -Vol &amp; Fin Inputs D27:F27; Base years via negative XLOOKUP into BASE - P&amp;L; Integrated years via negative XLOOKUP into INT - P&amp;L). Build Integrated EBITDA (Post-Mgmt. Fee) = Integrated EBITDA (Pre) + SCA Mgmt Fee + Other Mgmt Fee, with % Margin, 5-year CAGRs, and per-year check columns vs INT - P&amp;L Post-Mgmt EBITDA row.
- Add UHG Rate Impact row for Integrated years hardcoded to 0 in each of the six years. Then Enterprise EBITDA = Integrated EBITDA (Post-Mgmt. Fee) + UHG Rate Impact, with a % Margin line and 5-year CAGRs.
- Build the below-the-line block for Integrated years only via XLOOKUP into INT - P&amp;L: Depreciation (negative), Amortization (negative), and Other Expense (negative sum of two INT - P&amp;L lines). Sum to Facility Operating Earnings = Enterprise EBITDA + Depreciation + Amortization + Other Expense, with 5-year CAGR and per-year check columns against INT - P&amp;L facility operating earnings.
- Add Non-Controlling Interest (negative XLOOKUP into INT - P&amp;L NCI row), Pre-Tax Mgmt. Fee Profit (positive XLOOKUP into INT - P&amp;L), and Partial Year Impact (direct negatives from INT - P&amp;L partial-year row, using L162 as the first-period source and AL:AP for later years). Sum to SCAH Pre-Tax Operating Earnings = Facility Operating Earnings + NCI + Pre-Tax Mgmt Fee Profit + Partial Year Impact, with 5-year CAGR and per-year check columns vs INT - P&amp;L.
- Add two supplementary earnings rollup lines by pulling their labels dynamically from INT - P&amp;L and values from BASE - P&amp;L (Base years) and INT - P&amp;L via XLOOKUP (Integrated years). Add % Growth below each, benchmarked to the last historical year for the first forecast year of each case.
- Add an SCA Ownership row: historicals set to 0; the first Base year uses IF(YEAR(period)=YEAR(BASE - P&amp;L deal date), INT - P&amp;L ownership, 0); subsequent Base years link directly to BASE - P&amp;L ownership; Integrated years link directly to INT - P&amp;L ownership.
- Build the Valuation and Sensitivity Analysis section header with two side-by-side layouts (Base Case, Integrated Case). Build the discount-rate/perpetuity-growth sensitivity grids by linking directly to BASE - Val &amp; Returns (rows 113–118) for the Base panel and INT - Val &amp; Returns (rows 116–121) for the Integrated panel, using dynamic titles that reference the ownership stake ("Implied SCA Equity Value - X% Stake").
- Build the Financial Returns Summary block. Pull Enterprise Value center from INT - Val &amp; Returns and Mgmt Fee Buyout center from INT - Val &amp; Returns; define an increment = center × 0.05; lay out five columns per side stepping ±increment around the center. Compute per column: Enterprise Value, Less Net Debt/(Excess Cash) linked to INT - Val &amp; Returns H91 (both panels), Equity Value − 100% = EV − Net Debt, Ownership Stake pulled once from INT - P&amp;L H11 and propagated across, Equity Value at Stake = 100% Equity Value × Stake, Pro Rata Net Debt = Stake × Net Debt, Equity Investment = Equity at Stake + Pro Rata Net Debt, Mgmt Fee Buyout laid out as stepped for Base panel and flat center for Integrated panel, and Purchase Price = Equity Investment + Mgmt Fee Buyout. Add a PP Check cell = ROUNDDOWN(T78−T102+M78−O102, −4).
- Add an Implied IRR row: Base and Integrated centers as CSE array-formula IRR calculations; the surrounding cells hardcoded to the sensitivity values 0.4436797678470611, 0.39333819746971144, 0.3532839477062225, 0.3206635415554048 for Base Case sensitivities and 0.525, 0.4661, 0.4191, 0.3808 for Integrated Case sensitivities.
- Build the Transaction Multiples block with dynamic labels using TEXT(period,"yyyyA/P") for last historical, first-forecast TTM, and out-year multiples. For each of seven multiples (last-hist EBITDA, first-year EBITDA, TTM EBITDA, and four forward-year EBITDAs), divide each Enterprise Value column by the corresponding EBITDA (Post-Mgmt. Fee): Base panel uses J38/K38/L38/M38/N38/O32 and BASE - P&amp;L J112 for TTM; Integrated panel uses J38/Q38/R38/S38/T38/U38 and INT - P&amp;L J120 for TTM, wrapping forward-year Integrated multiples in IF(x&lt;0,"N/A",x).</t>
        </is>
      </c>
      <c r="H40" s="13" t="inlineStr">
        <is>
          <t>8f99bcd7-fca6-4752-bf71-04ad795bf50d</t>
        </is>
      </c>
    </row>
    <row r="41" ht="300" customHeight="1">
      <c r="A41" s="13" t="inlineStr">
        <is>
          <t>29ea5ad8</t>
        </is>
      </c>
      <c r="B41" s="12" t="inlineStr">
        <is>
          <t>APPROVE to generating_prompt.</t>
        </is>
      </c>
      <c r="C41" s="13" t="inlineStr">
        <is>
          <t>wangche2532@gmail.com</t>
        </is>
      </c>
      <c r="D41" s="13" t="n">
        <v>635</v>
      </c>
      <c r="E41" s="13" t="n">
        <v>10095</v>
      </c>
      <c r="F41" s="12" t="inlineStr">
        <is>
          <t>Clear content: Operating!B210:J267, Operating!B423:J434, Operating!B444:J449, Operating!B452:J517, Operating!B520:J621</t>
        </is>
      </c>
      <c r="G41" s="12" t="inlineStr">
        <is>
          <t>- On the Operating tab, complete the historical (columns C–E) Balance Sheet subtotals and aggregates that were previously blank: Cash and Equivalents as Cash plus Marketable Securities; Accounts Receivable as Trade plus Other; Property, Plant and Equipment, Net as Gross minus Accumulated Depreciation (with Gross pulling from the PPE Historical Cost roll-forward and Accumulated Depreciation from the PPE roll-forward); Intangible Assets, Net as Gross plus Acquisition minus Accumulated Amortization (pulled from the amortization schedule); and Total Assets as the sum of all asset lines. Hardcode the historical Accounts Receivable – Other line as 104+278 for the earliest year, 116+203 for the middle year, and 119+184 for the latest year, and hardcode historical Other Assets as 350+415-Goodwill, 228+455-Goodwill, and 140+460-Goodwill. Historical Goodwill is held flat at prior year.
- Build a Marketable Securities driver block (Percentage Growth) with Downside = Base − 0.01, Base = 0, Upside = Base + 0.01 held flat across the forecast, plus a Choice row selecting via the Cover Page scenario switch (G6). The historical Choice cells display prior-year growth (using a 1981 anchor for the first year). Project Marketable Securities forward as prior period × (1 + Choice).
- Build an Accounts Receivable – Trade (DSO) driver block with Base = latest-historical DSO held flat, Downside = Base + 1, Upside = Base − 1, and Choice selected via Cover Page G6. Historical Choice cells compute DSO = 365 / (Revenue / average trade AR). Project Trade AR forward as (Revenue × DSO) / 365.
- Build an Accounts Receivable – Other (Percentage Growth) driver block with all three cases (Downside/Base/Upside) hardcoded at 0 flat across the forecast, historical Choice showing prior-year growth, and Choice selected via Cover Page G6. Project Other AR forward as prior period × (1 + Choice).
- Build an Inventory (Days Inventory Outstanding) driver block with Base = latest-historical DIO flat, Downside = Base + 1, Upside = Base − 1, Choice via Cover Page G6, and historical Choice computed as 365 / (COGS / average inventory). Project Inventory forward as (COGS × DIO) / 365.
- Build an Other Assets (Percentage Growth) driver block with Base = 0, Downside = Base − 0.02, Upside = Base + 0.02 (flat), historical Choice = prior-year growth, and Choice via Cover Page G6. Project Other Assets forward as prior period × (1 + Choice).
- Build the Equity Method Investments roll-forward (Beginning + Equity in Earnings pulled from the income statement equity income line − Dividends Received = Ending). Hardcode historical Beginning Balance of 396 for the first period, historical Dividends of −101, 39, and 40, then build a Dividends Received driver (Percentage Growth) with Base = 0, Downside = Base − 0.02, Upside = Base + 0.02, Choice via Cover Page G6, and project future Dividends as prior × (1 + Choice). Link Balance Sheet Equity Method Investments (projected) to this schedule's Ending Balance.
- Populate the projected columns of the existing Intangible Assets and Goodwill amortization schedule: Beginning = prior Beginning + prior Acquisitions; Accumulated Amortization = prior + current Amortization Expense; Ending = Beginning + Acquisitions − Accumulated Amortization. Hardcode the first projected Acquisition of Intangible Assets at 29.5 and first projected Amortization Expense at 107. Link Balance Sheet Intangible Assets Gross, Acquisitions, and Accumulated Amortization rows to this schedule.
- Build a Deferred Tax Assets (Percentage Growth) driver block with Base = 0 flat, Downside stepping down 0.005 per year from a 0 base, Upside stepping up 0.005 per year from 0, and Choice via Cover Page G6. Project Deferred Tax Assets forward as prior × (1 + Choice).
- Complete the historical Liabilities lines: hardcode Pension Benefit Obligations historicals as Assumptions references (F33−F34, G33−G34, H33−H34), Other Liabilities historicals as 1102−Pension, 698−Pension, 623−Pension, and historical Debt as 1618+4893 and 1089+6252 for the two earliest years. Build the historical Total Liabilities subtotal as the sum of AP, Accrued, Pension, Deferred Income, Debt, and Other Liabilities.
- Build an Accounts Payable (Days Payable Outstanding) driver block with Base = latest-historical DPO flat, and hardcode Downside = 58 and Upside = 59 (both flat), Choice via Cover Page G6. Historical Choice computes DPO = 365 / (COGS / average AP). Project AP forward as (COGS × DPO) / 365.
- Build an Accrued Expense (Percentage Growth) driver block with Base = 0, Downside = Base + 0.005, Upside = Base − 0.005 (flat), Choice via Cover Page G6, and historical Choice = prior-year growth. Project Accrued Expense as prior × (1 + Choice).
- Build a Pension Contribution Expense (Percentage Growth) driver block with Base = 0 flat, Downside = Base + 0.005, Upside = Base − 0.005 (all flat), Choice via Cover Page G6, historical Choice = prior-year growth in Pension liability. Project Pension liability as prior × (1 + Choice).
- Build a Deferred Income (Percentage of Previous Year Revenue) driver block with Base = average of historical ratios, Downside = 0, Upside = 0, Choice via Cover Page G6, historical Choice = Deferred Income / prior-year Revenue. Project Deferred Income as Revenue × Choice.
- Build an Other Liabilities (Percentage Growth) driver block with Base = 0, Downside = Base − 0.005, Upside = Base + 0.005 (flat), Choice via Cover Page G6, historical Choice = prior-year growth. Project Other Liabilities as prior × (1 + Choice) plus the current-period Restructuring/Asset Impairments line from the income statement in the first projected year.
- Complete the Shareholders' Equity historical aggregates: Common Stock as Par + Additional Capital; link Additional Capital historicals to the APIC schedule Ending Balance; link Treasury Stock historicals as the negative of the Treasury schedule Ending Balance; link Noncontrolling Interests in Subsidiaries historicals to the NCI schedule Ending Balance. Compute Total Shareholders' Equity, Total Liabilities and Shareholders' Equity, and a Balance Sheet Check = Total L&amp;E − Total Assets.
- Project Par Value forward as held flat at the latest-historical value.
- Build the Additional Paid-In Capital roll-forward with Beginning + Stock Issued Under Stock Plans + Stock-Based Compensation (linked to income statement SBC) + Acquisition of Noncontrolling Interests + Repurchase and Retirement of Stock + Settlement of Capped Calls + Redeemable Convertible Notes + Exchange/Conversion/Repurchase of Convertibles = Ending. In the projected columns, drive Stock Issued Under Stock Plans as prior × (1 + growth driver) and the other four movement items as Stock Issued × their respective multiple drivers (with signs).
- Build an APIC – Stock Issued Under Stock Plans (Percentage Growth) driver with Base = 0, Downside = Base − 0.02, Upside = Base + 0.002 (flat), Choice via Cover Page G6.
- Build an APIC – Repurchase and Retirement of Stock (Multiple of Stock Issued) driver with Base = average of historical ratios (−Repurchase/Stock Issued), Downside = Base + 0.02, Upside = Base − 0.02 (flat), Choice via Cover Page G6, historical Choice = −Repurchase / Stock Issued.
- Build an APIC – Settlement of Capped Calls (Multiple of Stock Issued) driver with Base = average of historical ratios, Downside = Base + 0.02, Upside = Base − 0.02, Choice via Cover Page G6, historical Choice = Capped Calls / Stock Issued.
- Build an APIC – Redeemable Convertible Notes (Multiple of Stock Issued) driver with Base = average of two most recent historical ratios, Downside = Base + 0.02, Upside = Base − 0.02, Choice via Cover Page G6, historical Choice = Convertible Notes / Stock Issued.
- Build an APIC – Exchange, Conversion, Repurchase of Convertibles (Multiple of Stock Issued) driver with Base = average of two most recent historical ratios, Downside = Base + 0.02, Upside = Base − 0.02, Choice via Cover Page G6, historical Choice = −Exchange / Stock Issued.
- Build a Dividend schedule with Shares Outstanding projected as prior × (1 + growth driver) and Annual Dividends ($ per share) computed as Shares × 4 × Quarterly Dividend driver. Populate historical Annual Dividends using the same formula.
- Build a Dividend – Shares Outstanding Growth (Percentage Growth) driver with Base = trailing 2-year average growth of shares (rolling), Downside = Base − 0.01, Upside = Base + 0.01, Choice via Cover Page G6, historical Choice = prior-year share growth.
- Build a Dividend – Quarterly Dividend driver with Downside/Base/Upside all held at 0 flat across the forecast and Choice via Cover Page G6.
- Build the Treasury Stock roll-forward with Beginning + Repurchase of Treasury Stock + Settlement of Capped Calls (pulled from the APIC schedule) = Ending. Historicals: Beginning = 0 for the first year; Settlement of Capped Calls in projected years hardcoded 0; historical Ending Balance = 0 for the first year.
- Build a Treasury Stock – Repurchase driver with Base = prior-period Repurchase held flat, Downside = Base − 20 in year 1 then stepping −10, Upside = Base + 30 in year 1 then stepping +20, Choice via Cover Page G6. Link the projected Repurchase of Treasury Stock in the Treasury schedule to Choice.
- Build an Accumulated Other Comprehensive Income (Percentage of Growth) driver with Downside/Base/Upside all hardcoded at 0, Choice via Cover Page G6, historical Choice = prior-year growth in AOCI. Project AOCI as prior × (1 + Choice).
- Build the Noncontrolling Interests roll-forward with Beginning + Net Income (Loss) attributable to NCI (linked from income statement as negative) + Other Comprehensive Income + Contributions + Distributions + Acquisitions = Ending. Hardcode projected Other Comprehensive Income, Contributions, and Acquisitions at 0, and project Distributions as prior × (1 + growth driver).
- Build a Dividends Received Growth (Percentage Growth) driver for NCI Distributions with Downside/Base/Upside all hardcoded at 0, Choice via Cover Page G6, historical Choice = prior-year growth in Distributions.</t>
        </is>
      </c>
      <c r="H41" s="13" t="inlineStr">
        <is>
          <t>29ea5ad8-04b1-4dc4-8220-ae9df37ae12d</t>
        </is>
      </c>
    </row>
    <row r="42" ht="300" customHeight="1">
      <c r="A42" s="13" t="inlineStr">
        <is>
          <t>f09e7718</t>
        </is>
      </c>
      <c r="B42" s="12" t="inlineStr">
        <is>
          <t>APPROVE to generating_prompt.</t>
        </is>
      </c>
      <c r="C42" s="13" t="inlineStr">
        <is>
          <t>mshuriah2702@gmail.com</t>
        </is>
      </c>
      <c r="D42" s="13" t="n">
        <v>565</v>
      </c>
      <c r="E42" s="13" t="n">
        <v>5638</v>
      </c>
      <c r="F42" s="12" t="inlineStr">
        <is>
          <t>Removed 6. Int tab</t>
        </is>
      </c>
      <c r="G42" s="12" t="inlineStr">
        <is>
          <t>- Insert a new tab titled '6. Int' positioned after '5. FinSum', with a title block pulling the entity name from 'Vol &amp; Fin Inputs'!B1, the heading text "Integrated Case Summary", a "$ in 000s; cases in actuals" units note, a TODAY() print-date stamp, and section labels "Key Commentary" and "Integrated Case Financial Summary".
- Build the period header row: pull the two historical/TTM period-end dates from 'INT - P&amp;L' (row 28, columns H and J) into H16/I16 labeled "Historicals"/"TTM"; then in J16 anchor the first forecast year as DATE(YEAR(TTM),12,31) and roll forward with EOMONTH(prior,12) across K16:S16 (ten forecast years), with a "Fiscal Year Ending December 31," banner; drive row 15 year labels off YEAR() of the row 16 dates.
- Build the Surgical Cases and Incremental Volume lines (rows 18 and 19): pull the historical/TTM values as direct references from 'INT - P&amp;L' rows 31 and 34 columns H/J; pull each forecast year by XLOOKUP of the year header into 'INT - P&amp;L'!$L$25:$AU$25 returning the matching value from row 31 (Surgical) or row 34 (Incremental), using reverse-search mode.
- Build "Total Cases" (row 21) as the sum of Surgical + Incremental for every column, and "% Growth" (row 22) as current/prior − 1 with IFERROR "N/A" fallback and hardcoded "N/A" for the historicals/TTM columns.
- Build "Total Revenue" (row 24) using the same historical direct-link + forecast XLOOKUP pattern against 'INT - P&amp;L' row 60; add a "% Growth" row 25 (IFERROR current/prior−1, "N/A").
- Build the operating-expense block as six paired sub-blocks, each pulling the dollar line via the same historical-direct + forecast-XLOOKUP pattern from the corresponding 'INT - P&amp;L' rows, and each with its own ratio sub-row(s): Medical Supplies (row 27, source row 83) with a "Per Case" row (÷ Total Cases) and a "% Growth Per Case" row; Salaries, Wages &amp; Benefits (row 31, source row 71) with Per Case and % Growth Per Case; Other Variable Expenses (row 35, source row 87) with Per Case and % Growth Per Case; Rent Expense (row 39, source row 91) with "% of Total Revenue"; Other Fixed Expense (row 42, source row 94) with % of Total Revenue; Bad Debt Expense (row 45, source row 97) with % of Total Revenue; RBO Fee Expense (row 48, source row 101) with % of Total Revenue. All ratio rows use IFERROR wrappers returning "N/A", and % Growth Per Case rows are hardcoded "N/A" in the historical/TTM columns.
- Build "Operating Expenses" total (row 51) as the direct sum of the seven expense-line rows (27+31+35+39+42+45+48) across all columns.
- Build "Integration Expenses" (row 53) as a forecast-only line combining XLOOKUPs against 'INT - P&amp;L' row 114 plus row 117 (added together per year).
- Build "Integrated EBITDA (Pre-Mgmt. Fee)" (row 55) as Revenue − Opex for historical/TTM and Revenue − Opex − Integration Expenses for the forecast; add companion "% Growth" (row 56) and "% Margin" (row 57, ÷ Total Revenue) rows.
- Build the two management-fee lines (rows 59 "SCA Management Fee" and 60 "Other Management Fee") as negatives of XLOOKUPs into 'INT - P&amp;L' row 124 and row 127 respectively, forecast columns only.
- Build "Integrated EBITDA (Post-Mgmt-Fee)" (row 62) = row 55 + SUM(row 59:60), with a % Growth row 63.
- Build the three below-EBITDA expense pulls (forecast only) as negatives of XLOOKUPs into 'INT - P&amp;L': Depreciation (row 65, source row 135), Amortization (row 66, source row 138), and Other Expense (row 67, source row 141 negated + row 144 added).
- Build "Facility Operating Earnings" (row 69) = Post-Mgmt EBITDA + SUM(D&amp;A/Other rows 65:67), with % Growth (row 70) and % Margin (row 71, ÷ Total Revenue).
- Build "Non-Controlling Interest" (row 73) as −XLOOKUP into 'INT - P&amp;L' row 152, and add a "% Optum Ownership" row 74 computed as 1 − (−NCI ÷ Facility Operating Earnings).
- Build "Partial Year Impact" (row 76): for the first forecast column, IF the period-end date does not equal 'INT - P&amp;L'!AL$28 then pull 'INT - P&amp;L'!L$162 else pull 'INT - P&amp;L'!AL$162; for subsequent forecast columns, pull the corresponding 'INT - P&amp;L' row 162 values (AM162 through AU162).
- Build "Operating Earnings Attributable to UHG" (row 78) = Facility Operating Earnings + NCI + Partial Year Impact.
- Build the SCA Management Fee Profit block: "SCA Mgmt. Fee" (row 80) as the negative of row 59; "SCA Overhead" (row 81) as −XLOOKUP into 'INT - P&amp;L' row 156; "Pre-Tax Mgmt. Fee Profit" (row 82) = IFERROR(SUM of the two, "N/A").
- Build "UHG Pre-Tax Operating Earnings" (row 84) = row 78 + row 82.
- Build the "IOI [C] – Base Case" line (row 86) as XLOOKUP by year into 'BASE - P&amp;L'!$L$25:$W$25 returning row 173, with a "% Growth" row 87.
- Build the "IOI [C] – Integrated Case" line (row 89) as XLOOKUP by year into 'INT - P&amp;L'!$L$25:$AU$25 returning row 174, with a "% Growth" row 90.
- Build a check/reconciliation column at U for every subtotal (rows 21, 24, 51, 62, 69, 84, 86, 89): each cell equals (SUMIFS of the source row across the source columns whose year is between $K$15 and $S$15, plus XLOOKUP of the year J$15 in the source) minus SUM of the tab's own J:S values; sources are 'INT - P&amp;L' row 41 for Total Cases, row 60 for Revenue, row 107 for Opex, row 131 for Post-Mgmt EBITDA, row 148 for Facility Operating Earnings, row 164 for UHG Pre-Tax Operating Earnings, 'INT - P&amp;L' row 174 for Integrated IOI, and 'BASE - P&amp;L' N:W row 173 for Base IOI. Label the column header at U1 "Print Format:" / V1 "Print Format".
- On '8. R&amp;M', add a reconciliation check in cell AB9 equal to SUM('6. Int'!J89:O89) − SUM(Q9:V9) to tie the R&amp;M row-9 Integrated IOI values back to the first six forecast years on the new tab.</t>
        </is>
      </c>
      <c r="H42" s="13" t="inlineStr">
        <is>
          <t>f09e7718-c4bf-4bb1-964a-5a914acc6ee4</t>
        </is>
      </c>
    </row>
    <row r="43" ht="300" customHeight="1">
      <c r="A43" s="13" t="inlineStr">
        <is>
          <t>4073b29f</t>
        </is>
      </c>
      <c r="B43" s="12" t="inlineStr">
        <is>
          <t>APPROVE to generating_prompt.</t>
        </is>
      </c>
      <c r="C43" s="13" t="inlineStr">
        <is>
          <t>nimisha.mekala2021@gmail.com</t>
        </is>
      </c>
      <c r="D43" s="13" t="n">
        <v>467</v>
      </c>
      <c r="E43" s="13" t="n">
        <v>10237</v>
      </c>
      <c r="F43" s="12" t="inlineStr">
        <is>
          <t>Builds the outbound integration layer — pushing deal and physician metrics into the Dynamo CRM format — plus a standalone IT-spend calculator. Pure consumers, so they're the last thing built and the first stripped.</t>
        </is>
      </c>
      <c r="G43" s="12" t="inlineStr">
        <is>
          <t>- On the `Calculator` tab, build the OM Framework driver row for the three cost columns (Partnership Annual `J`, Partnership One-Time `K`, MSA Annual `L`) by keying every lane's outputs to the framework toggle (`I7` = 1 Standard / 2 Standard+BD / 3 Bundle) and the lane-level option selector cells (`I10`, `I13`, `I22`, `I25`, `I28`, `I30`, `I32`, `I35`, `I45`, `I52`, `I55`, `I58`), so that costs route to Partnership vs. MSA columns based on which framework is chosen; then wire columns `F`, `G`, `H` for each lane row to simply pull from `J`, `K`, `L` respectively.
- Build the Patient Accounting System / Clearinghouse lane logic: Option A places 32,400 in Partnership Annual under framework 1–2 and in MSA Annual under framework 3; Options B and X return "TBD" in the corresponding column under frameworks 1–2 and blank otherwise.
- Build the HR lane logic for Option A: MSA Annual receives 17,448 when framework ≤ 2 and 27,708 when framework = 3; Time Keeping Services routes (6 × 12) × `Inputs!D9` to Partnership Annual under frameworks 1–2 or to MSA Annual under framework 3; Payroll Services routes (6 × 26) × `Inputs!D9` on the same split; one-time Time Keeping web app fee of 2,000 and timeclock fee of 4,915 flow to Partnership One-Time when their respective toggle cells equal "Yes"; Options B (PEO) and X (TRC Review) return "TBD" under frameworks 1–2.
- Build the Accounting lane: Option A routes 23,900 to MSA Annual for any framework; Option B routes 32,700 to MSA Annual under frameworks 1–2; Option X returns "TBD" across all three cost columns under frameworks 1–2.
- Build the Treasury lane: Option A routes 2,800 to MSA Annual (any framework); Option X routes 18,000 to Partnership Annual and 300 to Partnership One-Time under frameworks 1–2.
- Build the Tax lane: Option A routes 13,460 to Partnership Annual under frameworks 1–2 and to MSA Annual under framework 3, and always routes 22,000 to Partnership One-Time; Option X returns "TBD" under frameworks 1–2.
- Build the Risk Management lane: Option A pulls `Inputs!D14` into Partnership Annual for any framework; Option X returns "TBD" under frameworks 1–2.
- Build the Supply Chain lane: Options A and B carry no cost (blank routing formulas); Option X returns "TBD" across all three columns under frameworks 1–2.
- Build the Clinical lane (rows 37–44) as a multi-line schedule keyed to both framework (`I7`) and employment toggle (`I35`): Clinical Support routes 10,000 to MSA Annual when employees are CBK-employed; MCN routes 500 to Partnership Annual and 1,000 to Partnership One-Time (frameworks 1–2, employed), or 1,000 to Partnership One-Time and 500 to MSA Annual (framework 3, employed); Risk Reporting Vendor routes 800 to Partnership Annual (frameworks 1–2, employed) or to MSA Annual (framework 3, employed); SCT Core Compli routes 726 to MSA Annual (employed); Patient Sat NPS routes 693 (frameworks 1–2 → Partnership Annual, framework 3 → MSA Annual); OAS CAHPS routes 3,135 to Partnership Annual (employed) with "TBD" one-time and MSA; AORN routes 157 to Partnership Annual (employed); Option X returns "TBD" across columns under frameworks 1–2.
- Build the Marketing &amp; Communications lane rows 45–51 keyed to `I45` and `I7`: Templatized Website routes 2,532 to Partnership Annual (frameworks 1–2) or MSA Annual (framework 3), plus 8,500 to Partnership One-Time for any framework; Templatized Collaterals routes 500 to MSA Annual; Online Reputation routes 509 to Partnership Annual (frameworks 1–2) or MSA Annual (framework 3), plus 350 to Partnership One-Time; Monthly Optimization routes 1,800 to MSA Annual; Website Improvements routes 2,010 to MSA Annual; Option X returns "TBD" under frameworks 1–2.
- Build the Regulatory Compliance lane: Option A routes 7,000 to MSA Annual (all frameworks) and 500 to Partnership Annual for the Extension of Practice allocation; Option X returns "TBD" across columns under frameworks 1–2.
- Build the Payer Engagement lane: Option A routes 31,500 to MSA Annual (all frameworks); Option X returns "TBD" across columns when selected.
- Build the RCO lane rows 58–67 keyed to `I58` (1 CBO / 2 Local / 3 Non-CBRK Vendor): Revenue Cycle Services routes 20,000 to Partnership One-Time under the Local path; Insurance Verification Training routes 3,500 to Partnership One-Time under CBO+Local toggle; Legacy AR Fin Pack routes 4,500 to Partnership One-Time under CBO or Local when "Yes"; Payer Contracts Database routes 1,500 to Partnership Annual and 2,000 to Partnership One-Time under the Local path; PAS Vendor A Database Setup routes "Included" under CBO or 8,500 to Partnership One-Time under Local when "Yes"; Charge Capture routes 750 to Partnership One-Time under Local; Clearinghouse Conversion routes 1,500 to Partnership One-Time under Local; EPIC Interface Support routes 5,000 to Partnership One-Time under CBO or Local when "Yes"; each lane's `E` description cell uses a nested-IF to display the label matched to the selected `I` option.
- Build the "Included in Framework" block (rows 71–80): Legal Platforms hardcoded MSA Annual of 1,800; Atlas Insight hardcoded MSA Annual of 3,300; Operations MSA Annual pulled from `Inputs!D12`; Finance MSA Annual pulled from `Inputs!D13`; IT Partnership Annual pulled from `Inputs!D31` and one-time from `Inputs!H31` with 1,350 hardcoded to MSA Annual; framework-conditional add-ins for Bundle mode (`I7`=3) that plug 43,000 to MSA Annual in `L77`, and Credentialing entries at `K78` = `Inputs!D10` × 30 and `L78` = `Inputs!D10` × 31 × 12; wire the `F`, `G`, `H` display columns to `J`, `K`, `L` with an `IF(L&gt;0,L,"")` presentation guard on the MSA column, and total the block in row 80.
- Build the "Sold Separately" block (rows 83–87): Coding row draws from `Inputs!D24` when selected and defaults to 5,000 when not selected; Credentialing row uses `Inputs!D10` × 31 × 12 for Partnership Annual and `Inputs!D10` × 30 for Partnership One-Time under frameworks 1–2 (with "TBD" fallbacks when the service is not selected); Business Development row routes 43,000 to Partnership Annual under framework 1 and to MSA Annual under frameworks 2–3 when selected; each row's `E` and `I` cells resolve the "Service Selected / Not Selected" label from the `D` include toggle; totals row 87 sums `F`, `G`, `H`.
- Add grand totals to row 68 summing rows 10–67 across `F`, `G`, `H` (and helper sums on `J`, `K`, `L` for rows 10–31).
- On the `Summary Output` tab, add the deal-name header pull in `B5` from `Inputs!D6`, and build the three cost columns (`D`, `E`, `F` for Partnership Annual, Partnership One-Time, MSA Annual) for every lane row 9–20 as `IF(COUNTIF(&lt;Calculator range&gt;,"TBD")&gt;=1,"TBD",SUM(&lt;Calculator range&gt;))` over the appropriate rows on the Calculator tab, so any lane with an unresolved "TBD" propagates the flag up.
- On the same tab, add the Clinical row special case in `D16:F16` that returns the SUM of `Calculator!F37:F43` (and its `G`/`H` equivalents) only when the corresponding `Calculator!I35`/`J35`/`K35` selector ≠ 3, else "TBD".
- Add the Included-in-Framework passthroughs for rows 21–25 (Legal, Atlas Insight, Operations, Finance, IT) pulling directly from `Calculator!F72:H76`.
- Add the Sold-Separately roll-ups for Coding (`D26:F26` from `Calculator!F84:H84`), Credentialing (rows 27, choosing between `Calculator!F85:H85` for frameworks 1–2 and `Calculator!F78:H78` for framework 3 via `IF(Calculator!I7&lt;=2, …, …)`), and Business Development (row 28, choosing between `Calculator!F86:H86` for framework 1 and `Calculator!F77:H77` / `H86` for frameworks 2–3).
- Add the grand-total row in row 29 (`SUM(D9:D28)`, etc.), and build the compliance block: `D31` pulls the MSA Fee from `Inputs!D11`; `D32` echoes total service costs from `F29`; `D33` = `D31` − `D32`; `D34` = `D33` / `D31`; `E34` displays "MARGIN DOES NOT MEET COMPLIANCE MINIMUM OF 20%" when `D34` &lt; 0.2.
- On the `Dynamo Deal Import` tab, populate row 2 with the deal-attribute feeds: `D2` = `Vol &amp; Fin Inputs!F7` (TTM as-of); `E2` = `NOW()`; `F2`, `G2`, `J2` = `INT - P&amp;L!$H$7` (sign/close/first-patient dates); `K2` = `INT - P&amp;L!$H11` (ownership); equity, MF buyout, purchase price, debt assumption, and total company capital pulled from `INT - Val &amp; Returns!$H$105`, `H106`, `H110`, `H93*$H$103`, and `H112` respectively; capital lease hardcoded 0; IY/FY E-NCI from `INT - P&amp;L!AL186`/`AM186` with FY E-NCI multiple = `U2/AB2`; UL AT IRR and TTM EBITDA Multiple from `INT - Val &amp; Returns!$H$146` and `$H$97`; EBITDA TTM and Facility Distributions TTM from `Vol &amp; Fin Inputs!O30`/`O43`, with Distributions per 1% = `AT2 * 0.01`; Total Enterprise Value at `GV2` from `INT - Val &amp; Returns!H98`; and 2026–2032 Rat. EBITDA (`HR2:HX2`) pulled from `INT - P&amp;L!AM263:AS263`.
- On the same tab, build the monthly earn-out schedule in `CF2:DC2` for the primary (AA/AB) tranche and `DD2:EA2` for the secondary (AK/AL) tranche, using the pattern: if the month index ≤ (12−MONTH(`$G$2`)+1), use `AA/AK` divided by (12−MONTH+1); elseif &lt; (12−MONTH+1)+13, use `AB/AL` / 12; else use `AB/AL` × (1 + `INT - P&amp;L!$AN$187` or `$AN$184`) / 12, escalating annually thereafter.
- On the same tab, build the OM-services feed block: `EB2` "ORC Needed" flag returns "Yes" if `EC2` &lt; 250,000 OR `EE2` &lt; 0.25 OR any of `EG2:EO2` begin with "Option X"; `EC2` = `Summary Output!D31`; `ED2` = `Summary Output!D32`; `EE2` = (`EC2`−`ED2`)/`EC2`; `EF2` = `Summary Output!D29`; then columns `EG2:FA2` (OM lane labels), `FB2:FV2` (OM Future Costs from `Summary Output` column D), and `FW2:GQ2` (OM CBK Costs from `Summary Output` column F) each pull the appropriate `Summary Output` cell when `INT - P&amp;L!$AU$7` = "ON" and return blank when "OFF"; add `GR2` = `TODAY()`, `GS2` = "Draft", and `GT2`/`GU2` = "Pending" for DOA status flags.
- On the `Dynamo Physician Import` tab, populate rows 2–10 by pulling physician attributes from the `Amortization` tab: column `D` (Name) from `Amortization!B39:B47`, `G` (Ownership in) from `C39:C47`, `L` (TTM NPR/Case) from `G39:G47`, `M` (TTM Volume) from `H39:H47`, `N` (TTM Revenue) from `J39:J47`, and `U` (Age) from `D39:D47`; populate column `E` (Deal Name) for rows 2–13 with `='Dynamo Deal Import'!$A$2` so the physician records inherit the deal identifier.</t>
        </is>
      </c>
      <c r="H43" s="13" t="inlineStr">
        <is>
          <t>4073b29f-25e1-4432-8bf5-0b7c4be497db</t>
        </is>
      </c>
    </row>
    <row r="44" ht="300" customHeight="1">
      <c r="A44" s="13" t="inlineStr">
        <is>
          <t>d75d1c87</t>
        </is>
      </c>
      <c r="B44" s="12" t="inlineStr">
        <is>
          <t>APPROVE to generating_prompt. Strip the summary/meta bullets first.</t>
        </is>
      </c>
      <c r="C44" s="13" t="inlineStr">
        <is>
          <t>mshuriah2702@gmail.com</t>
        </is>
      </c>
      <c r="D44" s="13" t="n">
        <v>458</v>
      </c>
      <c r="E44" s="13" t="n">
        <v>7338</v>
      </c>
      <c r="F44" s="12" t="inlineStr">
        <is>
          <t>Removed Totals section on the Summary Output tab; removed non hardcoded assumptions on the Summary Output tab; removed dependent links on the Dynamo Deal Import tab; Removed non hardcoded assumptions, line items, and subtotal amounts on the 8. Financial Bridge tab; removed non hardcoded assumptions on the 7. Assum tab; Removed Pro Forma Output tab; removed TTM and Future columns, as well as subtotal rows on the Run Rate SCAH Value Bridge tab; removed dependent linkages to the INT-P&amp;L tab (Annual OM Fee, Total Integration Expense, One Time Integration expense, and SCA Overhead)</t>
        </is>
      </c>
      <c r="G44" s="12" t="inlineStr">
        <is>
          <t>- **NEW tab**: `Pro Forma Output`
- **Modified tabs (intentional)**: `7. Assum` (all numeric linkages), `8. Financial Bridge` (K totals + derived EBITDA / margins rows), `INT - P&amp;L` (rows 114 OM Fee, 117 One-Time Integration Expense, 156 SCA Overhead, and 157 growth cell in AM), `Run Rate SCAH Value Bridge` (bridge structure), `Summary Output` (all C/D/E/F formulas + header rows), `Dynamo Deal Import` (5 new export cells).
- In `Summary Output`, build the service-selection roll-up that pulls from the `Calculator` and `Inputs` tabs: add the two heading cells at the top (partnership name and address linked to `Inputs!D6` and `Inputs!D7`), then for each Support Service row (rows 8–15) populate a `CONCATENATE(CHOOSE(...))` description formula in column C keyed off the `Calculator` sheet's option-selector index (I7, I10, I22, I25, I29, I32, I34) and populate columns D, E, F with either `CHOOSE`-style option picks or `SUM` ranges over the corresponding Calculator option blocks; for the bundle-included services (rows 16–25) drive D/E/F from `SUM` of the relevant Calculator cells; for rows 26–29 (Sales, Credentialing, Supply Chain – ECO, Revenue Cycle / Coding) build `IF(Calculator!$I$7…,"Included in Bundle",CONCATENATE("Sold Separately",": ",…))` descriptions and matching conditional numeric formulas that include the hardcoded threshold `43000` for Sales' F26 fee when bundled; add totals row 30 summing D9:D29, E9:E29 and F9:F29; add the MSA reconciliation block at rows 32–35 with Management Services Agreement Fee (=`Inputs!D11`), a floor-check warning `IF(Inputs!D11&lt;Inputs!J15,"AMOUNT BELOW MINIMUM FLOOR FOR SELECTED BUNDLE","")`, Total Services Costs (=F30), Margin $ (=D32-D33), Margin % (=D34/D32), and a 20% compliance warning `IF(D35&lt;0.2,"MARGIN DOES NOT MEET COMPLIANCE MINIMUM OF 20%","")`.
- In `INT - P&amp;L`, add the missing forecast values for the three previously label-only rows so the EBITDAM / Integrated EBITDA stack works. Row 114 ("Less: Annual OM Fee"): populate monthly columns N–Y with `IF(MONTH(cell29)&lt;MONTH($H$7),0,$AL$114/$H$13)` and Z–AK with `$AM$114/12`; populate annual columns AL and AM with an `IFS` array formula that switches between `'Summary Output'!$D$30-'Summary Output'!$D$29` and the manual `$AU$9` input depending on the `$AU$7="ON"/"OFF"` toggle; extend AN–AU as `prior*(1+growth[row 115])`; and add a helper at AY114 that reads `IF($AU$7="ON",'Summary Output'!$E$30,$AU$10)`. Row 117 ("Less: One-Time Integration Expense"): monthly columns N–AK equal `$AY$114 * &lt;row 118 %&gt;`; AL and AM sum the monthly halves; L117 and AN–AU use an `IFS` array that fires only in the year of `$H$7+1` returning `IF($AU$7="ON",'Summary Output'!$E$30,$AU$10)` and 0 otherwise. Row 156 ("SCA Overhead"): monthly N–Y equal `IF(MONTH(cellRow29)&lt;MONTH($H$7),0,$AL$156/$H$13*(1+row157))` and Z–AK equal `$AM$156/12`; annual columns AL–AU use an `IFNA/IFS` array formula that toggles between `'Summary Output'!$F$30*$H$10` (when `$AU$7="ON"`) and `$AU$8*$H$10` (when OFF) for the deal-year, prior year returns 0, and subsequent years grow off the base; add AM157 as `AM156/AU8-1`.
- Populate the `7. Assum` tab, which previously carried only row labels, by wiring every numeric cell to the newly-built `INT - P&amp;L` and `INT - Val &amp; Returns` model: year headers D4:I4 pull `TEXT('INT - P&amp;L'!AL28,"yyyy")&amp;"E"` and the "P" variants for AM–AQ; row 6 Volume from `INT - P&amp;L` row 42; row 8 NPR/Case from row 55; rows 10, 11, 12 (Supplies/Case, SWB/Case, Other Variable Expense/Case) from rows 85, 73, 89; rows 14, 15 (Rent, Other Fixed annual increases) from rows 92, 95; row 16 Bad Debt % from row 99; row 19 SCAH O/H Expense from row 156; rows 20, 21 SCAH RBO Fee per case and % NPR-BD from rows 103, 105; row 25 CapEx from `-'INT - Val &amp; Returns'!I46:N46`; row 27 Working Capital % from `'INT - Val &amp; Returns'!T8`.
- In `8. Financial Bridge`, complete the bridge that previously only contained the raw input columns (F–J) and a couple of hardcoded totals. Add the K "sum" column: K9 =SUM(F9:J9), K11, K13, K14, K15, K16, K17 similarly. Add the derived rows below the expense stack: row 19 "Facility EBITDA (Pre-Mgmt. Fee)" as Revenue minus SUM of the five expense lines, and row 20 "% Margin" as EBITDA/Revenue, each written across F, G, H, I, J and K. Add roll-up cells K24 EBITDA (Post-Mgmt. Fee) = K19-K22 and K25 margin = K24/K11; K30 "Facility Operating Earnings" = K24-K27-K28 and K31 margin; K36 "UHG Pre-Tax Operating Earnings" = K30-K33+K34 and K37 margin; add the row labels for these new rows (B19, B20, B24, B25, B30, B31, B36, B37).
- Build the new `Pro Forma Output` tab, which pulls the completed `INT - P&amp;L` forecast into a single-page pro forma covering the TTM year (column D) and forecast years AL–AU (columns E–N). Add a title `='I&amp;A Summary'!B1&amp;" Pro Forma"`, a `($ in 000s)` subheader, and pull the period headers from `INT - P&amp;L` row 28. Populate rows 4 (dates), 6 (Total Case Volume from row 41), 8 (Total Net Patient Revenue from row 60), 11 (SWB from row 71), 12 (Medical Supplies from row 83), 13 (Rent from row 91), 14 (Management Fees combining rows 124 and 127), and an "Other Operating Expenses" block (rows 16–20) sourcing Other Variable (row 87), Other Fixed (row 94), Bad Debt (row 97), RBO Fee (row 101), and OM Fee + Integration (SUM of rows 114 and 117). Add row 15 as SUM of rows 16–20, row 21 Total Operating Expenses as SUM of rows 11–15, row 23 EBITDA = revenue – opex, row 24 EBITDA Margin. Below that add row 26 Debt Service (from `INT - P&amp;L` row 216), row 27 CapEx (`-'INT - Val &amp; Returns'!H46:M46`), row 29 Est. Distributions, row 30 Distributions per 1% (dividing by 100). Add rows 32–33 (D&amp;A from sum of rows 135+138, and Management Fee add-back from row 14), row 35 IOI (from `INT - P&amp;L!AL174` in first forecast year and computed as EBITDA – D&amp;A + Mgmt. Fee thereafter), and row 37 IRR (from `'I&amp;A Summary'!N10`). Add a "Key Performance Indicators" block at rows 41–46 computing Net Patient Revenue/Case, SWB/Case, Supplies/Case, RBO Fee/Case, and Mgmt Fee as % of (Revenue – Bad Debt).
- Rebuild the `Run Rate SCAH Value Bridge` layout: insert a new leftmost bridge column "TTM" (column D), shift "Incr. Volume" to column E and "SCAH Value" to column F, and add a "Future" total column G at the right. Wire D7 Volume, D9 Revenue, and D11 Expenses to `'Pro Forma Output'!D6`, `!D8`, `!D21` respectively. Insert new row 13 "EBITDA" (=Revenue – Expenses across D:F, with G13 = SUM(D13:F13)) and row 14 "EBITDA Margin %" (D14 = D13/D9, G14 = G13/G9). Shift Debt Service and CapEx down to rows 16 and 17 and wire D16 and D17 to `'Pro Forma Output'!D26` and `!D27`. Add new rows 19 "Est. Distributions" (=EBITDA – SUM(Debt Service, CapEx) across D:F and SUM roll-up in G) and 20 "Distributions per 1%" (=row 19 / 100), plus SUM(D:F) roll-ups across the other lines in column G.
- In `Dynamo Deal Import`, append five net-new export columns tied to the newly-built `Summary Output` tab: EB2 an ORC-needed flag `IF(OR(EC2&lt;250000, EE2&lt;0.25, LEFT(EG2,8)="Option X", LEFT(EH2,8)="Option X", LEFT(EI2,8)="Option X",...), …)` with the hardcoded thresholds `250000` and `0.25`; EC2 Management Services Agreement Fee = `Summary Output!D32`; ED2 Total Services Costs = `Summary Output!D33`; EE2 Margin % = (EC2-ED2)/EC2; EF2 Total Partnership Expense = `Summary Output!D30`.</t>
        </is>
      </c>
      <c r="H44" s="13" t="inlineStr">
        <is>
          <t>d75d1c87-cc80-461b-a894-47ea156cad3f</t>
        </is>
      </c>
    </row>
    <row r="45" ht="300" customHeight="1">
      <c r="A45" s="13" t="inlineStr">
        <is>
          <t>f776f992</t>
        </is>
      </c>
      <c r="B45" s="12" t="inlineStr">
        <is>
          <t>APPROVE to generating_prompt.</t>
        </is>
      </c>
      <c r="C45" s="13" t="inlineStr">
        <is>
          <t>infinitearbitrage@gmail.com</t>
        </is>
      </c>
      <c r="D45" s="13" t="n">
        <v>397</v>
      </c>
      <c r="E45" s="13" t="n">
        <v>5294</v>
      </c>
      <c r="F45" s="12" t="inlineStr">
        <is>
          <t xml:space="preserve">Loan Runoff and Cash Flow is removed along with dependents
</t>
        </is>
      </c>
      <c r="G45" s="12" t="inlineStr">
        <is>
          <t>- On a new **Cash Flow** tab, lay out the annual timeline header with a "2019 to 1H22" starting-actuals column, a "2H22" stub column, individual year columns from 2023 through 2038, and a Total column, all labeled "EGP mn."
- On the same tab, build the Collections block: (i) a "Residential units" line pulling per-year totals from the Assumption Sheet residential collection rows and dividing by 1,000,000 (early years combining two source rows, later years using only the second), (ii) a "Service Apartment" line pulling from the Assumption Sheet service-apartment collection row (2019–1H22 hardcoded 0, 2H22 hardcoded 2.6) divided by 1,000,000, (iii) a "Contribution%" line under each collection row expressing each period as a share of that line's total, and (iv) an "Equity contribution (Expected)" line with hardcodes 160, 0, 160, 80, 80, 80 across 2019–1H22 through 2026.
- Add subtotal rows "Total Cash Inflows from Sales" (residential + service apartment + equity) and "Total Cash Inflows" (same, with the Total column excluding equity), then a "Delinquencies (Uncollected checks)" line hardcoded to 0 across every period.
- Build the Hard Costs block: a "% of Completion" driver row with values 0, 0, 0.20, 0.20, 0.20, 0.10, 0.10, 0.20, 0.10 across 2019–1H22 through 2031; a "Construction, Infrastructure &amp; General Infrastructure" line that pulls actuals from the Assumption Sheet total-cost row for 2019–1H22 (÷1,000,000), a hardcoded 50.6 for 2H22, and future years computed as Model Update construction cost (÷1,000,000) × the % of Completion; and a "Land payments (Including FX effect)" line that pulls Assumption Sheet land cost for 2019–1H22 (÷1,000,000), a hardcoded 14.9 for 2H22, and links each 2023–2028 year to the Land tab row 4. Sum to "Total Hard Cost" with the Total column stripping out the 2019–1H22 and 2H22 land/construction actuals.
- Build the Soft Costs block with three line items — Sales Commissions, Marketing, and G&amp;A — each pulling 2019–1H22 from the Assumption Sheet actuals rows (÷1,000,000) and forward years from the Assumption Sheet per-year expense rows (÷1,000,000); include three blank/zero placeholder rows and sum to "Total Soft Costs."
- Add "Total Cash Outflow" = Hard + Soft + Delinquencies (subtracting the Land line for 2023–2025 and for the Total column also subtracting the 2019–1H22 and 2H22 land actuals), then "Net Cash Flow Before Taxes" = Inflows − Outflows.
- Add an "Income Taxes" line hardcoded to 0 for 2023–2025 and computed as Net Cash Flow × 0.225 from 2026 onward, then "Net Cash Flow After Taxes" = pre-tax less tax (with pre-2026 periods carrying pre-tax through unchanged).
- Add the financing/interest block at the bottom: an "Interest" driver rate hardcoded as 20% + 3.5%; a capitalized-interest line running 2023–2029 that compounds on the prior period's cumulative balance plus current-year net cash flow (with the 2026+ periods also adding back the capitalized interest from three years prior); a "Cumulative Cash Flow" roll-forward starting at 0 in 2019–1H22 and accumulating net cash flow plus interest; and a "Total Cash Flow Deficit" line summing net after-tax with the running deficit and interest additions across 2026–2030. Include the "Total Interest" label and Total-column sum of interest, and a "Net Cash flow after Interest and land payment" label with a Total = after-tax + interest.
- On a new **Loan Runoff** tab, lay out a quarterly header from 31/12/2022 through 30/06/2030 with a "Drawdown" band over 2023–2025 and a "Repayment" band from 2026 onward.
- On that tab, spread the annual Cash Flow figures to quarters: "Drawdown/Repayment" = each year's Net Cash Flow Before Taxes ÷ 4 across its four quarters (2023 through 2029), with 2030 spread as Cash Flow K30 ÷ 4; "Interest" = each year's capitalized interest ÷ 4 across its four quarters for 2023–2029, and ÷ 2 for the two 2030 quarters shown.
- Add "Plus: interest with Capitalization" from 2026 onward, equal to that quarter's interest plus the interest from the same quarter three years earlier (2029–2030 quarters just equal the current-quarter interest); then "Remaining amount to pay principal" = drawdown/repayment + capitalized interest; then "Principal" = remaining + the corresponding drawdown quarter three years back (2026–2028 only); then a "Cummlative Deficit to be repaid" running roll-up from 2026 that accumulates the principal/remaining balances, with the final quarter hardcoded 0.
- Add the summary block on Loan Runoff: pull the interest label and rate from Cash Flow; compute "Deficit" as the sum of quarterly drawdowns during 2023–2025, "Int Capitalized" as the sum of quarterly interest during 2023–2025, "Interest remain" as the sum of quarterly interest from 2026 onward, and "Peak deficit" ratio as (Int Capitalized + Interest remain) ÷ Deficit; then build a "Repayment Schedule" row that expresses each 2026-onward quarter's remaining/cumulative deficit as a share of −Deficit, with the final quarter using −prior cumulative ÷ −Deficit.
- On the **Assumption Sheet**, wire two summary links back into the newly built Cash Flow tab: set "Total COGS including the Hotel" equal to Cash Flow Total-column row 17 + Assumption Sheet Total Cost, and set "Project Total Cost" equal to Cash Flow Total-column Total Cash Outflow.</t>
        </is>
      </c>
      <c r="H45" s="13" t="inlineStr">
        <is>
          <t>f776f992-cd34-452b-adfe-e65148c3c247</t>
        </is>
      </c>
    </row>
    <row r="46" ht="300" customHeight="1">
      <c r="A46" s="13" t="inlineStr">
        <is>
          <t>87a8cf29</t>
        </is>
      </c>
      <c r="B46" s="12" t="inlineStr">
        <is>
          <t>APPROVE to generating_prompt.</t>
        </is>
      </c>
      <c r="C46" s="13" t="inlineStr">
        <is>
          <t>apathy@uchicago.edu</t>
        </is>
      </c>
      <c r="D46" s="13" t="n">
        <v>340</v>
      </c>
      <c r="E46" s="13" t="n">
        <v>5682</v>
      </c>
      <c r="F46" s="12" t="inlineStr">
        <is>
          <t>Cleared I&amp;A Summary, Pro Forma Output, Valuation Summary, Run Rate Cascade Health Holding.</t>
        </is>
      </c>
      <c r="G46" s="12" t="inlineStr">
        <is>
          <t>- Build the deal-overview header block at the top of `I&amp;A Summary` (rows 1-20): a tab title pulling from the facility name, then a "Deal Overview" section housing facility details (facility name from the profile tab, city from the deal execution tab, accounting treatment / OR-PR label / close date / TTM date / first-patient date from `INT - P&amp;L` inputs) alongside a "Key Metrics" mini-block that pulls IYC (IOI), FYC (IOI), and IRR from `8. Key Metrics`, plus a pre/post integrated cap table showing Cascade Health Partners equity (from `INT - P&amp;L`), a physician equity plug of 1 minus the sponsor share, an "Other" plug of 1 minus the two, and a total-check row. Include the literal labels "Pre" and "Post".
- Build the "Top Line Growth" driver-summary block on `I&amp;A Summary` (rows 23-28): forecast-period columns pulling Revenue/Volume, Volume, NPR/Case, and Other Revenue directly from the corresponding rows of `INT - P&amp;L`.
- Build the "Management Fee / Operating Model" block on `I&amp;A Summary` (rows 31-37): a single-column table with row labels Management Fees, Integration, Overhead, and Annual OM Fee, each amount pulled from the terminal-year column of `INT - P&amp;L`. Include the literal structure label "Fixed" and the column headers "Structure" and "Amount".
- Build the "Operating Assumptions" block on `I&amp;A Summary` (rows 39-59): forecast-column pulls for Supplies/Case, SWB/Case, Other Variable, Rent, Other Fixed, and Annual OM (from `INT - P&amp;L`, with the pre-open period marked "N/A"); an RBO Fees sub-block with per-case rate, YoY growth calc (current period ÷ prior period − 1, with the first period marked "NM"), and % of NPR-BD; a Bad Debt % of NPR pull; and a CapEx / Depreciation sub-block linking to `INT - Val &amp; Returns` and `INT - P&amp;L` (negated).
- Build the "Debt &amp; Lease" block on `I&amp;A Summary` (rows 62-69): parallel Facility Debt and Facility Equipment Lease columns pulling terms, principal, months (years × 12), interest rate, and payment from the debt/lease inputs on `INT - P&amp;L`. Include the literal label "Capital Leases".
- Build the `Pro Forma Output` tab from scratch as the primary presentation P&amp;L: a title that concatenates the `I&amp;A Summary` deal name with " Pro Forma", column headers for TTM through the forecast horizon pulled from `INT - P&amp;L`, then row-linked pulls for Total Case Volume, Total Net Patient Revenue, an Operating Expenses stack (Salaries/Wages/Benefits, Medical Supplies, Rent, Management Fees combining the mgmt-fee and integration-fee lines from `INT - P&amp;L`, and an "Other Operating Expenses" subtotal that sums the detail rows below it: Other Variable, Other Fixed, Bad Debt, RBO Fee, OM Fee &amp; Integration combining the OM-fee and integration lines), a Total Operating Expenses subtotal, EBITDA = NPR − OpEx, EBITDA Margin %, Less: Debt Service from `INT - P&amp;L`, Less: CapEx as negated `INT - Val &amp; Returns` CapEx (only for the years CapEx exists), Est. Distributions = EBITDA − Debt Service − CapEx (drop the CapEx term in later years), and Distributions per 1% = EBITDA ÷ 100.
- Build the IOI-view supplement on `Pro Forma Output` (rows 32-37) for the forecast years: Less: Depreciation &amp; Amortization (sum of D&amp;A rows from `INT - P&amp;L`), Plus: Management Fee (equals the pro-forma management-fee row), IOI [C] computed as EBITDA − D&amp;A + Management Fee (with the first forecast year overridden to pull IOI directly from `INT - P&amp;L` row 171), and an IRR reference pulling from the I&amp;A Summary Key Metrics block.
- Build the "Key Performance Indicators" block on `Pro Forma Output` (rows 41-46): per-case ratios (Total NPR/Case, SWB/Case, Supplies/Case, RBO Fee/Case, all computed as the P&amp;L line ÷ Total Case Volume) and Mgmt. Fee as % of Revenue calculated as Management Fees ÷ (NPR − Bad Debt). Include IFERROR wrapping in the terminal column so blank cases return an empty string.
- Add the footnote at the bottom of `Pro Forma Output` that concatenates "(1) ", the text of the first forecast year, " IOI assumes a transaction close date of ", and the close date from `INT - P&amp;L`, plus the presentation guidance note "&lt;&lt; Show more expense detail (rows 15-20) and IOI (rows 32-38) for internal operations presentations; hide for external".
- Build the `Valuation Summary` tab from scratch as a compact enterprise-to-equity bridge: Adj. TTM EBITDA and Enterprise Value pulled from `INT - Val &amp; Returns`, EBITDA Multiple = EV ÷ EBITDA, Less: Debt pulled from `INT - Val &amp; Returns`, Equity Value = EV − Debt, Cascade Health Holdings Purchase (%) pulled from `INT - Val &amp; Returns`, and Est. Sale Proceeds = Equity Value × Purchase %. Include the tab-title label "Valuation Summary".
- Build the `Run Rate Cascade Health Holding` value-bridge table: column headers TTM, Incr. Volume, Cascade Health Holdings Value, and Future; a Volume row pulling TTM from `Pro Forma Output`; a Revenue row pulling TTM from `Pro Forma Output`; an Expenses row pulling TTM Total OpEx from `Pro Forma Output`; EBITDA = Revenue − Expenses computed across all four scenario columns; EBITDA Margin % = EBITDA ÷ Revenue on the TTM and Future columns; Less: Debt Service and Less: CapEx pulling TTM from `Pro Forma Output`; Est. Distributions = EBITDA − Debt Service − CapEx across all columns; Distributions per 1% = Distributions ÷ 100; a Future = sum of the three preceding columns across every row. Include the title "Cascade Health Holdings Value Bridge (High-Level)", the "($ in 000s)" units label, the presentation note "&lt;&lt; Change input cell formatting prior to adding to presentation", the divisor hardcode 100 in the per-1% row, and the disclaimer "* The above reflects an illustrative view; actual results subject to further diligence".</t>
        </is>
      </c>
      <c r="H46" s="13" t="inlineStr">
        <is>
          <t>87a8cf29-f488-4921-98df-9fbb785aa0b0</t>
        </is>
      </c>
    </row>
    <row r="47" ht="300" customHeight="1">
      <c r="A47" s="13" t="inlineStr">
        <is>
          <t>fdfd6024</t>
        </is>
      </c>
      <c r="B47" s="12" t="inlineStr">
        <is>
          <t>APPROVE to generating_prompt.</t>
        </is>
      </c>
      <c r="C47" s="13" t="inlineStr">
        <is>
          <t>mshuriah2702@gmail.com</t>
        </is>
      </c>
      <c r="D47" s="13" t="n">
        <v>265</v>
      </c>
      <c r="E47" s="13" t="n">
        <v>6067</v>
      </c>
      <c r="F47" s="12" t="inlineStr">
        <is>
          <t>Removed dependent check formula on the 8. R&amp;M tab; removed OUTPUT E:  Sources &amp; Uses, OUTPUT F: Physician Detail, and non hardcoded assumptions within OUTPUT D:  Operating Results sections on the 8. R&amp;M tab; removed IOI to E-NCI Ratio calculation on the 8. R&amp;M tab; Removed Integrated Case Solutions section on the 8. R&amp;M tab; removed non hardcoded assumptions and subtotals in OUTPUT C:  Economic Value Add and removed OUTPUT B: Facility IOI / Operating Earnings section on the 8. R&amp;M tab; removed non hardcoded assumptions within OUTPUT A on the 8. R&amp;M tab; removed dependent linked calculations on the Dynamo Deal Import tab (Fac Level AT CF, UL AT CF, UL AT CF Multiple, IYC (IOI), FYC (IOI), and FY IOI Multiple calculations)</t>
        </is>
      </c>
      <c r="G47" s="12" t="inlineStr">
        <is>
          <t>- On the "8. R&amp;M" tab, add a title-link cell in row 1 that pulls the deal name from the Vol &amp; Fin Inputs tab so the sheet header stays in sync with the master input.
- On the "8. R&amp;M" tab, build a new "Integrated Case Calculations" block (starting around row 57) that pulls the projection-year headers and the AT Unlevered Cash line from the INT - Val &amp; Returns tab, and adds an "Average UL Cash" line that averages the AT UL Cash from the first-full-year and first-full-year-plus-1 columns via SUMIF on the year row; below it pull "SCA UL Cash Outlay (Capital Outlay)" from INT - Val &amp; Returns and compute the AT Unlevered Cash Multiple as Capital Outlay ÷ Average UL Cash.
- Directly below in the same block, build the parallel "AT Levered Cash Multiple" mini-schedule: repeat the year header, pull AT Levered Cash from INT - Val &amp; Returns, compute the same first-two-full-years average, pull SCA Levered Cash Outlay, and divide outlay by average to get the AT Levered Cash Multiple.
- Add a "First Full Year of Ownership" driver that inspects the INT - P&amp;L period-start date and returns YEAR of that date if it lands on Jan-1, otherwise YEAR+1; this becomes the anchor year used by all downstream first-full-year metrics.
- Add a "Cash CAGR – First Full Year Ownership" mini-schedule that INDEX/MATCHes the AT UL Cash at the first-full-year column and then uses RATE(final-year – first-full-year, 0, –first-year cash, final-year cash) to derive the AT UL Cash CAGR.
- Add an "IOI CAGR – First Full Year Ownership" mini-schedule that mirrors the Cash CAGR approach but pulls IOI from the new OUTPUT B block (built below), INDEX/MATCHing at the first-full-year column and running RATE against the final-year IOI.
- Add a "SCA Distributions + Mgmt. Fee" block: repeat the year header, sum Facility Pre-Tax Distributions from three separate lines on INT - Val &amp; Returns, multiply by SCA Ownership to derive SCA Pre-Tax Dist., and pull SCA Mgmt. Fee and SCA Overhead directly from INT - Val &amp; Returns.
- Add an "SCA E-NCI" block that repeats the year header and pulls E-NCI by year from the INT - P&amp;L tab.
- Add an "EBITDA" block with a year header row and two pulls from INT - P&amp;L: EBITDA (Pre-Mgmt. Fee) and EBITDA (Post-Mgmt. Fee); underneath, add "EBITDA (Post-Mgmt. Fee) – Year 1 Dynamo" and "Year 2 Dynamo" lines that XLOOKUP the first-full-year and first-full-year-plus-1 values from the Post-Mgmt. Fee row.
- Add a "Facility Distributions (Based on Levered Cash)" block with a year header, a Facility Distributions pull from INT - P&amp;L, and Year 1 / Year 2 Dynamo XLOOKUP lines against the first-full-year anchor.
- Build a new "OUTPUT B: Facility IOI / Operating Earnings ($ in 000s)" table to the right of OUTPUT A: a scenario-driven label (Consolidated vs. alternate view keyed off INT - P&amp;L cell H12 vs. AZ10), a year header row derived via YEAR() of the INT - P&amp;L date row, three IOI component rows pulled from INT - P&amp;L (conditionally selecting rows 182-184 vs. 187-189 based on the same scenario switch), a total IOI row summing the three components with sign convention (Row1 + Row2 – Row3), and a CHECK row comparing the total against INT - P&amp;L row 174 by column.
- Build an "OUTPUT D: Operating Results ($ in 000s)" table with ownership-split drivers: hardcode Facility PT Distributions = 1 and Other Ownership = 0, pull SCA Ownership from INT - P&amp;L H11, and derive MD Ownership as 1 – (SCA + Other); then create an ownership-weighted year-column layout applying each ownership share to the Facility Pre-Tax Distributions row from the SCA Distributions block, followed by "SCA Unlevered AT Cash Flow" (from the AT UL Cash row), "SCA Unlevered AT Cash Multiple" (Capital Outlay ÷ that year's cash), "SCA E-NCI" (from the new E-NCI block), "SCA Effective Multiple" (Capital Outlay ÷ E-NCI), "E-NCI to Cash Conversion Rate" (AT UL Cash ÷ E-NCI), and "SCA Portion of Mgmt. Fee $" (from the SCA Mgmt. Fee row).
- Populate the previously empty right-column of OUTPUT A (Investment Dashboard) so each hurdle row now has a live "Actual" value: SCA Unlevered AT Cash Multiple links to the new AT Unlevered Cash Multiple line; add a new row labeling the AT UL Cash CAGR ("&lt;first-year&gt; to &lt;final-year&gt; – SCA UL AT Cash Flow CAGR") linked to the AT UL Cash CAGR result; add another new row labeling the IOI CAGR ("&lt;first-year&gt; to &lt;final-year&gt; – &lt;IOI label&gt;") linked to the IOI CAGR result; IOI to E-NCI Ratio computed as AVERAGE of years 2-3 IOI ÷ AVERAGE of years 2-3 E-NCI; and Unlevered IRR pulled from INT - Val &amp; Returns H144.
- Build a new "OUTPUT E: Sources &amp; Uses ($ in 000s)" block: Uses side lists Equity Purchase (from INT - Val &amp; Returns H103), Debt Assumption (H99 × H101), and Mgmt Fee Buy Out (H104), with a Total Uses sum; Sources side lists SCA Cash (Equity Purchase + Mgmt Fee Buy Out) and SCA Debt Liability (= Debt Assumption), with a Total Sources sum.
- Build a new "OUTPUT F: Physician Detail" table for nine physician rows (linked to Amortization rows 39-47): pull Physician Name, Specialty, Ownership %, Age, TTM NPR/Case, and TTM Volume from Amortization; compute TTM Revenue as Volume × NPR/Case; compute TTM Distributions as Vol &amp; Fin Inputs O42 × Ownership %; and compute Liquidity as Equity Purchase (Q39) × Ownership %; include a Modeled Physician Growth Drivers / Notes column header (values entered manually).
- On the "Dynamo Deal Import" tab, add three new Row-2 formulas that pull from the new R&amp;M outputs: Fac Level AT CF from the Average UL Levered Cash cell, UL AT CF from the Average UL Unlevered Cash cell, and UL AT CF Multiple = U2 ÷ UL AT CF; add three additional Row-2 formulas for IYC (IOI) from the first-full-year OUTPUT B total, FYC (IOI) from the following year, and FY IOI Multiple = U2 ÷ FYC.
- On the "Dynamo Deal Import" tab, rewire the existing EBITDA Year 1 / Year 2 and Facility Distributions Year 1 / Year 2 cells to point at the new Dynamo helper rows inside the R&amp;M EBITDA and Facility Distributions blocks (I97/I98 for EBITDA, I103/I104 for Facility Distributions), replacing the prior stale references.</t>
        </is>
      </c>
      <c r="H47" s="13" t="inlineStr">
        <is>
          <t>fdfd6024-51d6-49c8-93c8-39d033b1bd8d</t>
        </is>
      </c>
    </row>
    <row r="48" ht="300" customHeight="1">
      <c r="A48" s="13" t="inlineStr">
        <is>
          <t>f7e83778</t>
        </is>
      </c>
      <c r="B48" s="12" t="inlineStr">
        <is>
          <t>APPROVE to generating_prompt.</t>
        </is>
      </c>
      <c r="C48" s="13" t="inlineStr">
        <is>
          <t>wangche2532@gmail.com</t>
        </is>
      </c>
      <c r="D48" s="13" t="n">
        <v>232</v>
      </c>
      <c r="E48" s="13" t="n">
        <v>6773</v>
      </c>
      <c r="F48" s="12" t="inlineStr">
        <is>
          <t>Delete tabs: SCA Debt Financing Schedule
Clear content: Inputs &amp; Assumptions!F34:K72、Inputs &amp; Assumptions!F163、Pro Forma!A46:AB73</t>
        </is>
      </c>
      <c r="G48" s="12" t="inlineStr">
        <is>
          <t>- On **Inputs &amp; Assumptions**, add a new "Acquisition Assumptions" block with three side-by-side scenario columns labeled Unlevered, Levered, and External View. Include a TTM EBITDA line pulled from Pro Forma H31 (the External View column mirrors the Unlevered value), a Seller Multiple driver hardcoded at 6 in the Unlevered column and referenced across, and an Enterprise Value line equal to TTM EBITDA × Seller Multiple in each scenario column.
- Directly below, add the deduction stack used to derive Equity Value: an Existing Facility Debt line (hardcoded 0 for Unlevered/Levered, pulled from the Existing Facility Debt Outstanding cell for External View) and an Existing Facility Capital Leases line (hardcoded 0 for Unlevered/Levered, pulled from the Existing Capital Lease balance for External View). Compute Equity Value as Enterprise Value less those debt items (Unlevered and Levered subtract only debt; External View subtracts both debt and capital leases).
- Add the SCA-share purchase build: an SCA Equity Purchase line multiplying Equity Value by the existing SCA ownership % driver (I7), an SCA Portion Mgmt Fee Buyout line pulling from the existing management-fee-buyout input (I15), a sum line "SCA Equity Purchase + Mgmt Fee Purchase," an SCA Deal Costs line hardcoded at 200000 in every scenario column, and an "SCA Total Purchase Price + Deal Costs" total that sums the equity purchase, mgmt fee, and deal costs.
- Add a "Maximum SCA Purchase Price Financing" sub-block (Levered column only): a Debt Capital % of Total Capitalization driver hardcoded at 60%, an Implied Max Debt Capital line equal to SCA Total Purchase Price × that %, a Multiple of SCA's Year 1 Unlevered E-NCI driver hardcoded at 5, and a second Implied Max Debt Capital line derived from that multiple.
- Add the "Capitalization" summary sub-block spanning all three scenario columns: Debt Capital % of Total Capitalization (Unlevered/External = 1 − Equity %; Levered = Debt Capital / Total Capital Purchase Price), Equity Capital % of Total Capitalization (Unlevered/External hardcoded at 1 and 1 respectively; Levered = Equity Capital / Total Capital Purchase Price), an SCA Total Capital Leases line (External View = existing capital lease balance if the consolidated toggle at C12 is "Consolidated", else 0), SCA Total Debt Capital (Unlevered/Levered = MIN of the two Implied Max Debt Capital lines; External View = existing facility debt if consolidated, else 0), SCA Total Equity Capital (Unlevered = Total Purchase Price − Debt Capital; Levered = Unlevered Total Purchase Price − Levered Debt Capital; External View = Total Purchase Price), and an SCA Total Capital Purchase Price total (Debt + Equity in Unlevered/Levered; Debt + Capital Leases + Equity in External View). Add labeled placeholder rows for "TTM Buyer Multiple" and "Year 1 Buyer Multiple" below the total.
- Populate the previously blank "SCA Debt Financing" balance line on Inputs &amp; Assumptions (row 163) as Levered SCA Total Debt Capital minus Existing Facility Debt Outstanding, so the new debt schedule's principal input flows from the capitalization block.
- Create a new **SCA Debt Financing Schedule** tab modeled on the Existing Facility Debt Schedule. Include a header block that pulls Facility name from Inputs &amp; Assumptions C4, Principal from the SCA Debt Financing balance (F163), Repayment Terms from F164, Amortization Months from F165, Interest Rate from F166, a Payment cell computed as −PMT(rate/12, months, principal) when terms are "Principal &amp; Interest" (else 0), and a Start Date equal to the deal close date (Inputs &amp; Assumptions C8) plus 30 days.
- Build the 60-row monthly amortization grid on that tab with columns Month, Year, Starting Balance, Principal Payment, Interest Rate, Interest Payment, Total Payment, and Ending Balance. Month 1 pulls opening balance from Principal; each subsequent row rolls forward from the prior ending balance. Interest Payment = MAX(rate × starting balance / 12, 0); Total Payment = MIN(scheduled payment, starting balance); Principal Payment = (Total − Interest) when terms are "Principal &amp; Interest", else 0; Ending Balance = Starting − Principal. The Year column steps 1→5 in 12-row blocks. Add side matrices "Interest Expense by Year" (Y1–Y5) and "Principal Payment by Year" (Y1–Y5) that IF-flag each monthly figure into the correct year column, with a totals row summing each year column at the bottom.
- On **Pro Forma**, add the "Figures below affect only SCA" section header above a new levered-vs-unlevered buyer-multiple block. Build an SCA E-NCI (C) row equal to EBITDA − Non-SCA NCI for pre-acquisition periods, and for pro-forma periods equal to EBITDA − Non-SCA NCI − (management fee input I27 / 12) monthly and full I27 annually, guarded by IF(SCA ownership % = 0, 0, …); sum the monthly columns into the annual total; add a CAGR footnote column computing (final/first)^(1/4) − 1 with an ISERROR trap returning "N/A".
- Add the "SCA E-NCI (C) – Unlevered" row for pro-forma periods computing (EBITDA − ((Existing Debt + Equity Purchase deductions row 39/36) × (1 − SCA %))) − management fee, and its companion "Buyer Multiple (Consolidated)" row equal to Total Capital Purchase Price (Inputs &amp; Assumptions I69/J69) divided by that E-NCI figure, with parallel Buyer Multiple (Consolidated) rows referencing Levered J69 for the SCA E-NCI (C) block.
- Add the equity-method equivalent block: "SCA Equity Income" = EBITDA × SCA ownership %; "SCA E-NCI (E)" = SCA Equity Income + existing D&amp;A/other adjustment (row 28), less monthly/annual management fee for pro-forma periods; "Buyer Multiple (Non-Consolidated)" = Levered Total Capital Purchase Price / SCA E-NCI (E).
- Add the unlevered equity-method variant: "SCA Equity Income (Unlevered)" = (row 39 + row 36) × SCA %; "SCA E-NCI (E) – Unlevered" = that income + row 28 − management fee; and "Buyer Multiple (Non-Consolidated)" = Unlevered Total Capital Purchase Price (I69) / SCA E-NCI (E) – Unlevered.
- Add a driver row (row 46) at the top of the buyer-multiple block that chooses between the Consolidated and Non-Consolidated E-NCI rows based on whether Inputs &amp; Assumptions C12 = "consolidated" (label row also driven by the same IF), and a matching selector row underneath for the corresponding Buyer Multiple. Include a "(1)" footnote reference tying to the existing CAGR footnote.
- Add the SCA levered P&amp;L block for the pro-forma years: "Interest Expense (SCA Debt Financing)" pulling the yearly totals from the new SCA Debt Financing Schedule (K79:O79); "SCA Pre-Tax Income After SCA Debt Financing" = (EBITDA × SCA %) − Interest Expense; "SCA Taxes" = Pre-Tax Income × existing tax-rate row (row 133); and "SCA Net Income After SCA Debt Financing" = Pre-Tax Income − Taxes.</t>
        </is>
      </c>
      <c r="H48" s="13" t="inlineStr">
        <is>
          <t>f7e83778-a8c1-4c8a-a43a-f2c40548cdf6</t>
        </is>
      </c>
    </row>
    <row r="49" ht="300" customHeight="1">
      <c r="A49" s="13" t="inlineStr">
        <is>
          <t>018939a8</t>
        </is>
      </c>
      <c r="B49" s="12" t="inlineStr">
        <is>
          <t>APPROVE to generating_prompt.</t>
        </is>
      </c>
      <c r="C49" s="13" t="inlineStr">
        <is>
          <t>apathy@uchicago.edu</t>
        </is>
      </c>
      <c r="D49" s="13" t="n">
        <v>198</v>
      </c>
      <c r="E49" s="13" t="n">
        <v>5807</v>
      </c>
      <c r="F49" s="12" t="inlineStr">
        <is>
          <t>Cleared DCF, WACC</t>
        </is>
      </c>
      <c r="G49" s="12" t="inlineStr">
        <is>
          <t>- On the WACC tab, add a "Cost of capital assumptions" header block and, beneath the existing cost of debt input, insert a tax-rate line that pulls the DCF tax rate and an after-tax cost of debt equal to pre-tax cost of debt times one minus the tax rate.
- On the WACC tab, below the existing risk-free rate, beta, and market risk premium inputs, add a cost-of-equity line built as risk-free rate plus beta times market risk premium (CAPM).
- On the WACC tab, extend the "Capital weights" block with column headers for Current, Target (override), and % of total; add a Debt row whose current balance pulls from the DCF debt total; build the % of total using the override when populated and otherwise equity divided by equity plus debt, with debt weight equal to one minus equity weight; then compute WACC as after-tax cost of debt times debt weight plus cost of equity times equity weight.
- On the WACC tab, add a two-way sensitivity block titled "WACC sensitivity to MRP and Beta" set up as a data table: row axis is Market Risk Premium stepped in 0.005 increments centered on the input MRP (two below, two above), column axis is Beta stepped in 0.1 increments centered on the input beta (one below, one above), with the top-left cell linking to the computed WACC and the interior populated by an Excel data table driving MRP and Beta.
- On the DCF tab, add a header block with valuation timing and linkage inputs: most recent fiscal year end (from FinSum), end of first fiscal year as EOMONTH +12 of that date, share price and share price date (from FinSum), WACC (from the WACC tab), a midyear-adjustment toggle defaulting to 0, "Portion of First Year Cash Flows" computed as YEARFRAC between valuation date and end of first fiscal year, and an "Active case" cell linking to the FinSum scenario selector.
- On the DCF tab, build the "Unlevered Free Cash Flows" schedule with an LTM column plus one Actual and five Forecast columns whose fiscal-year-ended dates roll forward via EOMONTH from the most recent fiscal year end; pull Revenue, EBITDA, EBIT, and tax rate from the FinSum forecast for each year; show % growth on revenue and % margins on EBITDA and EBIT; compute Tax on EBIT as tax rate times EBIT and NOPAT as EBIT times one minus tax rate; then, for LTM, blend the Actual and Year-1 values using the first-year portion weight (Actual * portion + Year-1 * (1 – portion)).
- On the DCF tab, add the FCF adjustments block: D&amp;A pulled from FinSum, capital expenditures pulled from FinSum as a negative with a "% of revenue" check line, a Net Working Capital line computed as sum of WC assets (AR, inventory, other current assets) less sum of WC liabilities (AP, other current liabilities, deferred revenue) with a "% of revenue" check, and Changes in NWC computed as prior period NWC minus current period NWC; sum NOPAT + D&amp;A + change in NWC + capex to get Unlevered Free Cash Flow for each forecast year.
- On the DCF tab, build the present-value block: column headers Val date, Yr 1 – Stub, Year 2…Year 5; discounting date per column equal to the year-end date, or the average of the year-end and the prior year-end when the midyear toggle equals 1; stub-adjust Year 1 UFCF by the first-year portion and leave later years unadjusted; PV each stub-adjusted UFCF at (1 + WACC) raised to the year fraction between its discounting date and valuation date (day count /365).
- On the DCF tab, add the Gordon-growth terminal value block: long-term growth rate input defaulting to 0, terminal-year FCF equal to Year-5 stub-adjusted UFCF times (1 + g), terminal value equal to that divided by (WACC – g), PV of terminal value discounted from the Year-5 date to valuation date, stage-1 PV as the sum of the PV row, total enterprise value as stage-1 plus PV of terminal, terminal value % of TEV, stage-1 % of TEV, and an implied exit EBITDA multiple equal to terminal value divided by terminal-year EBITDA.
- On the DCF tab, add the parallel EBITDA-multiple terminal value block: terminal-year EBITDA pulled from Year 5, exit multiple input of 27, terminal value equal to EBITDA times multiple, PV of terminal, stage-1 PV linked to the Gordon-growth stage-1 total, enterprise value as sum of the two, terminal % of TEV, cash flow % of TEV, and an implied terminal growth rate equal to (WACC – FCF/TV) divided by (1 + FCF/TV).
- On the DCF tab, complete the net-debt bridge: source date pulling from most-recent quarter end date, Debt hardcoded as 12350+78328+7979, and Cash hardcoded as 35934+18763+77723; net debt equals gross debt items (Debt, convertible, preferred, minority interests) less nonoperating assets (cash, equity investments).
- On the DCF tab, complete the shares-outstanding block by summing the basic shares and restricted stock / RSUs entries into net diluted shares outstanding.
- On the DCF tab, add a valuation summary block with side-by-side Perpetuity and EBITDA-multiple columns: enterprise value linking to each method's TEV, net debt linking to the bridge, equity value as EV minus net debt, shares outstanding pulling from net diluted shares, and equity value per share as equity value divided by shares.
- On the DCF tab, add trading multiples check tables (EV / Revenue, EV / EBITDA, EV / EBIT) computed for both methods against LTM and against Year 1.
- On the DCF tab, add two "Outputs" two-way sensitivity data tables for equity value per share: one against WACC (row axis, 0.01 increments, two above and two below the 0.10 base WACC input) and long-term growth rate g (column axis, 0.005 increments, two on either side of 0), driving the Perpetuity method; the other against WACC (same axis) and Exit EBITDA multiple (column axis, 1.0 increments, two on either side of 27), driving the EBITDA method; top-left cells link to the respective equity-value-per-share outputs.</t>
        </is>
      </c>
      <c r="H49" s="13" t="inlineStr">
        <is>
          <t>018939a8-5f2a-46e7-9f5b-309a20147f37</t>
        </is>
      </c>
    </row>
    <row r="50" ht="300" customHeight="1">
      <c r="A50" s="13" t="inlineStr">
        <is>
          <t>5a1f3794</t>
        </is>
      </c>
      <c r="B50" s="12" t="inlineStr">
        <is>
          <t>APPROVE to generating_prompt.</t>
        </is>
      </c>
      <c r="C50" s="13" t="inlineStr">
        <is>
          <t>wangche2532@gmail.com</t>
        </is>
      </c>
      <c r="D50" s="13" t="n">
        <v>180</v>
      </c>
      <c r="E50" s="13" t="n">
        <v>7117</v>
      </c>
      <c r="F50" s="12" t="inlineStr">
        <is>
          <t>Delete tabs: OUTPUT - Valuation Views
Clear content: Pro Forma!A41:Q60, Inputs &amp; Assumptions!F32:K72, Inputs &amp; Assumptions!D90:J99</t>
        </is>
      </c>
      <c r="G50" s="12" t="inlineStr">
        <is>
          <t>- On the Pro Forma tab, add an "NCI (Non SCA Interest)" row that, for each forecast period column D through N, multiplies the existing pre-tax income line in row 38 by (1 − SCA ownership % pulled from row 94), producing the non-SCA share of income used downstream.
- On the Pro Forma tab, add an "SCA Equity Income" row (row 54) equal to row 38 × SCA ownership % (row 94) for each period, and a companion "SCA Equity Income (Unlevered)" row (row 58) equal to (row 38 + interest expense in row 35) × row 94, for the Year 1–Year 5 forecast columns only.
- On the Pro Forma tab, add the consolidated "SCA E-NCI (C)" row (row 48) as row 23 − NCI (row 43), gated by IF(row 94 = 0, 0, …); starting in the Year 1 column subtract an additional Mgmt Fee Buyout amount pulled from Inputs &amp; Assumptions I27. Add a companion "SCA E-NCI (C) – Unlevered" row (row 51) computed as (row 23 − (row 38 + row 35) × (1 − row 94)) − Mgmt Fee Buyout I27, populated for the Year 1–Year 5 columns.
- On the Pro Forma tab, add the non-consolidated "SCA E-NCI (E)" row (row 55) as SCA Equity Income (row 54) + row 27 for every period, subtracting Mgmt Fee Buyout I27 starting in the Year 1 column, and a companion "SCA E-NCI (E) – Unlevered" row (row 59) equal to row 58 + row 27 − I27 for Year 1–Year 5.
- On the Pro Forma tab, add a "consolidation switch" summary row (row 45) that picks either the consolidated E-NCI (row 51) or the non-consolidated unlevered E-NCI (row 59) based on the Inputs &amp; Assumptions C12 flag = "consolidated", populated Year 1–Year 5 with a 4-year CAGR in column P (labeled "(1)" in column Q). Add an "Implied SCA TTM E-NCI" label in row 41 with the TTM column pulling from OUTPUT - Valuation Views C52.
- On the Pro Forma tab, add four buyer-multiple rows immediately below their respective E-NCI rows for Year 1–Year 5: row 46 "Buyer Multiple (Unlevered)" as the same consolidated/non-consolidated switch pointing to rows 52/60; row 49 "Buyer Multiple (Consolidated)" as Inputs &amp; Assumptions J69 ÷ row 48; row 52 "Buyer Multiple (Consolidated)" as Inputs &amp; Assumptions I69 ÷ row 51; row 56 "Buyer Multiple (Non-Consolidated)" as J69 ÷ row 55; and row 60 "Buyer Multiple (Non-Consolidated)" as I69 ÷ row 59. Add 4-year CAGR calculations in column P for rows 48, 54, 55, 58, and 59, tagged "(1)" in column Q.
- Create a new "OUTPUT - Valuation Views" tab containing two mirrored blocks (a "current" block at rows 4–22 and a source block at rows 34–52), each laid out with column headings TTM, Year 1, Year 2, Year 3, Year 4, Year 5, and CAGR. Populate the lower block first as the driver block: EBITDA from Inputs &amp; Assumptions I35, Seller Multiple from I36, Existing Debt from I39, SCA Ownership from I7, Mgmt Fee Purchase Price from I45, Deal Costs from I49, then compute Enterprise Value = EBITDA × Multiple, Equity Value = EV − Existing Debt, SCA Equity Purchase = Equity Value × Ownership, and SCA Total Capital Outlay = SUM(Equity Purchase + Mgmt Fee + Deal Costs).
- In the lower block on OUTPUT - Valuation Views, build the TTM SCA E-NCI (row 51 column C) with a large IF on the C12 consolidated flag: if consolidated, use Pro Forma I23 − (I38 + I35) × (1 − ownership I7) − Mgmt Fee Buyout I27; otherwise use ((I10 − I21) × (revenue-per-case I26 × mix factor I29) − I27) + ((I38 + I35) − (I10 − I21) × I26) × I7. Populate D51:H51 by pointing to Pro Forma J45:N45. Compute SCA Effective Multiple in row 52 as SCA Total Capital Outlay ÷ SCA E-NCI for each period, and a 5-year CAGR on row 51 in column J.
- Build the upper "Valuation Views ($ in 000s)" block on the same tab as a scaled presentation view: header pulling C34, all inputs (EBITDA, Existing Debt, Mgmt Fee, Deal Costs) divided by 1000 from their row-34-block counterparts, Enterprise/Equity/SCA Equity Purchase/Total Capital Outlay recomputed from the scaled values, and the E-NCI and Effective Multiple rows (21 and 22) pulled directly from rows 51 and 52 (E-NCI values divided by 1000), with a 5-year CAGR in column J.
- On the Inputs &amp; Assumptions tab, add an "Acquisition Assumptions" block at rows 32–43 with three view columns labeled Unlevered (I), Levered (J), and External View (K). Rows include TTM EBITDA pulled from Pro Forma I30 (mirrored across I and K); Seller Multiple hardcoded at 9 in the Unlevered column and mirrored to External View; Existing Facility Debt in the External column pulled from F149; Existing Facility Capital Leases hardcoded at 0 in Unlevered and pulled from F156 in External; Enterprise Value = EBITDA × Multiple; Equity Value = EV − Debt (− Capital Leases in External); and SCA Equity Purchase = Equity Value × SCA ownership % I7.
- Continuing on Inputs &amp; Assumptions rows 45–51, add "SCA Portion Mgmt Fee Buyout" pulling I15 (populated in both Unlevered and External columns), then "SCA Equity Purchase + Mgmt Fee Purchase" = Equity Purchase + Mgmt Fee, then "SCA Deal Costs" hardcoded at 200000 in both columns, and "SCA Total Purchase Price + Deal Costs" as the sum of the two lines above.
- On Inputs &amp; Assumptions rows 53–57, add a "Maximum SCA Purchase Price Financing" mini-block in the Levered (J) column: "Debt Capital % of Total Capitalization" hardcoded at 0.6, "Implied Max Debt Capital" = Total Purchase Price I51 × 0.6, "Multiple of SCA's Year 1 Unlevered E-NCI" hardcoded at 5, and a second "Implied Max Debt Capital" = IF(C12="consolidated", Pro Forma J51, Pro Forma J59) × 5.
- On Inputs &amp; Assumptions rows 59–69, add the "Capitalization" build across all three view columns: Debt % (row 60) — Unlevered/External = 1 − Equity %, Levered = J66/J69; Equity % (row 61) — Unlevered/External hardcoded at 1, Levered = J67/J69; "Multiple of SCA's Year 1 Unlevered E-NCI" (row 63) — Unlevered = 0, Levered = J66 ÷ Pro Forma Year 1 unlevered E-NCI switched by C12, External = K66 ÷ Pro Forma Year 1 levered E-NCI switched by C12; "SCA Total Capital Leases" (row 65) — External = IF(C12="Consolidated", F156, 0); "SCA Total Debt Capital" (row 66) — Unlevered = MIN(I55,I57), Levered = I43, External = IF(C12="Consolidated", F149, 0); "SCA Total Equity Capital" (row 67) — Unlevered = I51 − I66, Levered = I49, External = K51; "SCA Total Capital Purchase Price" (row 69) — sum of Debt + Equity (+ Capital Leases in External).
- On Inputs &amp; Assumptions rows 71–72, add the "TTM Buyer Multiple" row (row 71) pulling from OUTPUT - Valuation Views C52 in both Unlevered and Levered columns, and the "Year 1 Buyer Multiple" row (row 72) — Unlevered = Pro Forma J52/J60 switched by C12; Levered = Pro Forma J49/J56 switched by C12; External = K69 ÷ Pro Forma Year 1 consolidated/non-consolidated E-NCI switched by C12.
- On Inputs &amp; Assumptions rows 90–99, add a two-variable "Year 1 SCA Effective Multiple Sensitivity" data table headed by the Seller Multiple driver (I36) in D91, with a Volume axis across F93:J93 and a Rate axis down E95:E99 populated with growth-rate hardcodes 0, 0.1, 0.2, 0.3, and 0.4, feeding a data-table formula anchored in F95 that recalculates the Year 1 buyer-multiple output (Inputs &amp; Assumptions J52/J60 via the C12 switch) shown in E94 across each Volume/Rate combination.</t>
        </is>
      </c>
      <c r="H50" s="13" t="inlineStr">
        <is>
          <t>5a1f3794-1251-431a-b97d-4cf2107ffed8</t>
        </is>
      </c>
    </row>
    <row r="51" ht="300" customHeight="1">
      <c r="A51" s="13" t="inlineStr">
        <is>
          <t>3d458c2a</t>
        </is>
      </c>
      <c r="B51" s="12" t="inlineStr">
        <is>
          <t>APPROVE to generating_prompt.</t>
        </is>
      </c>
      <c r="C51" s="13" t="inlineStr">
        <is>
          <t>apathy@uchicago.edu</t>
        </is>
      </c>
      <c r="D51" s="13" t="n">
        <v>131</v>
      </c>
      <c r="E51" s="13" t="n">
        <v>6602</v>
      </c>
      <c r="F51" s="12" t="inlineStr">
        <is>
          <t>Cleared Dynamo Deal Import, Dynamo Physician Import, Key Metrics Box.</t>
        </is>
      </c>
      <c r="G51" s="12" t="inlineStr">
        <is>
          <t>- On the **Key Metrics Box** tab, lay out a 2-block header/value grid titled "Key Metrics" with paired label-and-value columns: left block links Syndication Date, Accounting Treatment, UL AT Cash Multiple, EVA Variance, # of ORs, and Facility Sq. Ft. to their sources on I&amp;A, 4. Returns &amp; Metrics, and I&amp;A respectively; right block links First Patient Date, UL AT IRR, IYC (IOI), FYC (IOI), # of Syndicated Physicians, and Volume Year One to 2. Financial &amp; Valuation Sum, Pipeline Extract, Physician Outputs, and Pro Forma. All values are pulled by direct cell reference — no new hardcodes beyond the label text.
- On the **Dynamo Physician Import** tab, build the header row across 21 columns: Salutation, First name, Last name, Name, Ownership in, Ownership type, Specialty, Contact type, Pre-Close, Post-Close, Commitment Agreement Status, TTM NPR/Case, TTM Volume, TTM Revenue, TTM Distributions, Liquidity, Run-rate NPR/Case, Run-rate Volume, Run-rate Revenue, Run-rate Distributions, Age.
- Populate the physician detail rows (rows 2–8) on **Dynamo Physician Import**: hardcode Salutation as "Dr." for every row; hardcode Contact type as "Physician" for every row; link Ownership in to the I&amp;A deal-name cell (absolute reference) for every row; for row 2, link First name / Last name / Specialty / Run-rate NPR-Case / Run-rate Volume / Run-rate Revenue to the corresponding I&amp;A physician detail cells and build Name as concatenation of Salutation + " " + First name + " " + Last name; hardcode Ownership type as "Physician Equity" for rows 2–3 and "Employed" for rows 4–8; hardcode Commitment Agreement Status as "Not Requested" for row 2, "Requested" for row 3, and "N/A" for rows 4–8.
- On the **Dynamo Deal Import** tab, lay out the deal-metadata header row across columns A–CE: Name, Accounting, DOA Approval Required, TTM Financials As Of, Last model import, Sign Date, Cedarbrook Close / Fund Date, Syndication Close Date, Construction Start Date, First Patient Date, Cedarbrook Ownership %, Cedarbrook Ownership in Practice, Cedarbrook Ownership in MSO, Equity, Management fee buyout, Total Purchase Price, Debt Assumption, Capital Lease, Cash Contribution to MSO, Cash Contribution to Practice, Total Cedarbrook Capital, Construction Cost, Equipment Cost, Working Capital Line of Credit, Legal/Other Cost, Total Project Cost, IY E-NCI, FY E-NCI, FY E-NCI Multiple, Fac Level AT CF, UL AT CF, UL AT CF Multiple, UL AT IRR, TTM EBITDA Multiple, EVA Variance, 5-YR EBITDA CAGR, IYC (IOI), FYC (IOI), FY IOI Multiple, Pre-Opening Net Income, Cedarbrook Development Fee Revenue, Pre-Opening IOI, EBITDA TTM, EBITDA Year 1, EBITDA Year 2, Facility Distributions TTM, Facility Distributions Year 1, Facility Distributions Year 2, Distributions per 1% TTM, Distributions per 1% Year 1, Distributions per 1% Year 2, # of Shareholders TTM/Y1/Y2/Y3, # of Total MDs TTM/Y1/Y2/Y3, Practice Revenue TTM/Y1/Y2/Y3, Practice Compensation TTM/Y1/Y2/Y3, MSO Compensation TTM/Y1/Y2/Y3, MSO OSP Pre-Tax Cash Flow TTM/Y1/Y2/Y3, Total Comp as % of Practice Revenue TTM/Y1/Y2/Y3, and OH as a % of Practice Revenue TTM/Y1/Y2/Y3.
- On row 2 of **Dynamo Deal Import**, wire the deal-level identifiers and dates by linking Name, Accounting, and each date field (Sign, Cedarbrook Close, Syndication Close, Construction Start, First Patient) to the corresponding I&amp;A cells; set DOA Approval Required to the I&amp;A control cell and set Last model import to `=NOW()`. Wire Cedarbrook Ownership %, Equity, Management fee buyout (blank), Total Purchase Price, Debt Assumption, Capital Lease, Cash Contribution amounts, Total Cedarbrook Capital, Construction Cost, Equipment Cost, Working Capital Line of Credit, Legal/Other Cost, and Total Project Cost each to their I&amp;A source cells.
- On row 2 of **Dynamo Deal Import**, populate the returns block: IY E-NCI and FY E-NCI use SUMIF against the Pro Forma year header row (S1:BZ1) against Pro Forma row 82 (E-NCI), keyed off YEAR(First Patient Date) and YEAR(First Patient Date)+1; FY E-NCI Multiple = Total Cedarbrook Capital / FY E-NCI; Fac Level AT CF and UL AT CF pull from Development Earnings K44 and K52; UL AT CF Multiple = Total Cedarbrook Capital / UL AT CF; UL AT IRR pulls from DCF &amp; IRR E39; EVA Variance pulls from 4. Returns &amp; Metrics H34; IYC (IOI) and FYC (IOI) use the same SUMIF pattern against Pro Forma row 104; FY IOI Multiple = Total Cedarbrook Capital / FYC.
- On row 2 of **Dynamo Deal Import**, populate the pre-opening and EBITDA/distribution block: Pre-Opening Net Income = Pro Forma R73; Cedarbrook Development Fee Revenue = Pro Forma R61 + Pro Forma CB61; Pre-Opening IOI = Pro Forma R104; EBITDA Year 1 and Year 2 = Pro Forma CB65 and CC65; Facility Distributions Year 1 and Year 2 = Cedarbrook Cash Flow BN38 and BO38; Distributions per 1% Year 1 and Year 2 = Facility Distributions × 0.01.
- On row 2 of **Dynamo Deal Import**, build the 24-column annual E-NCI time series (CF2:DC2) by pointing at Pro Forma row 82 columns S–AP in sequence, and the 24-column annual IOI time series (DD2:EA2) by pointing at Pro Forma row 104 columns S–AP in sequence; drive the CG1:EA1 header labels off column CF1 with a running `=prev+1` chain (with column DD1 as a second anchor).
- On row 2 of **Dynamo Deal Import**, build the ORC Needed flag in EB2 as an IF/OR that returns "Yes" when Management services agreement fee &lt; 250000, Margin % &lt; 0.25, or any of the first nine OM option columns (EG2:EO2) begins with "Option X" (LEFT of length 8); otherwise "No".
- On row 2 of **Dynamo Deal Import**, wire the ORC economics: Management services agreement fee = Inputs D11; Total services costs = Summary Output D32; Margin % = Summary Output D34; Total partnership expense = Summary Output D29.
- On row 2 of **Dynamo Deal Import**, build the three OM cost-detail blocks (columns EG:FA "OM", FB:FV "OM Future Cost", GW:GQ "OM Cedarbrook Cost") as IFS formulas that return the corresponding Summary Output column C value (for current OM), column F value (for future and Cedarbrook cost blocks), or blank when I&amp;A G20 = "OFF"; map each of the 21 service categories (PAS and Claims Clearinghouse, HR, Supply Chain, Revenue Cycle, Coding, Clinical Reporting, Accounting, Treasury, Tax, Credentialing, Risk Management, Managed Care, Clinical Support, Sales, Legal, Regulatory Compliance, Website, Cedarbrook Insight, Operations, Finance, IT) to its assigned Summary Output row.
- On row 2 of **Dynamo Deal Import**, wire the OM status and DOA columns: Last OM Update = IF(I&amp;A G21="","",I&amp;A G21); OM Status = I&amp;A G22; DOA – Initial = I&amp;A D33; DOA – Final = I&amp;A D34.</t>
        </is>
      </c>
      <c r="H51" s="13" t="inlineStr">
        <is>
          <t>3d458c2a-cfe5-4a22-9f35-1c48780f5a38</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1" customWidth="1" min="3" max="3"/>
    <col width="12" customWidth="1" min="4" max="4"/>
    <col width="12" customWidth="1" min="5" max="5"/>
    <col width="12" customWidth="1" min="6" max="6"/>
    <col width="9" customWidth="1" min="7" max="7"/>
    <col width="22" customWidth="1" min="8" max="8"/>
    <col width="40" customWidth="1" min="9" max="9"/>
    <col width="40" customWidth="1" min="10" max="10"/>
    <col width="38" customWidth="1" min="11" max="11"/>
  </cols>
  <sheetData>
    <row r="1">
      <c r="A1" s="9" t="inlineStr">
        <is>
          <t>Task</t>
        </is>
      </c>
      <c r="B1" s="9" t="inlineStr">
        <is>
          <t>Run created (UTC)</t>
        </is>
      </c>
      <c r="C1" s="9" t="inlineStr">
        <is>
          <t>Status</t>
        </is>
      </c>
      <c r="D1" s="9" t="inlineStr">
        <is>
          <t>Input tokens</t>
        </is>
      </c>
      <c r="E1" s="9" t="inlineStr">
        <is>
          <t>Output tokens</t>
        </is>
      </c>
      <c r="F1" s="9" t="inlineStr">
        <is>
          <t>Duration ms</t>
        </is>
      </c>
      <c r="G1" s="9" t="inlineStr">
        <is>
          <t>Empty context</t>
        </is>
      </c>
      <c r="H1" s="9" t="inlineStr">
        <is>
          <t>Model</t>
        </is>
      </c>
      <c r="I1" s="9" t="inlineStr">
        <is>
          <t>Message</t>
        </is>
      </c>
      <c r="J1" s="9" t="inlineStr">
        <is>
          <t>Error</t>
        </is>
      </c>
      <c r="K1" s="9" t="inlineStr">
        <is>
          <t>Task ID</t>
        </is>
      </c>
    </row>
    <row r="2">
      <c r="A2" s="13" t="inlineStr">
        <is>
          <t>018939a8</t>
        </is>
      </c>
      <c r="B2" s="13" t="inlineStr">
        <is>
          <t>2026-09-01T14:30:41.528Z</t>
        </is>
      </c>
      <c r="C2" s="13" t="inlineStr">
        <is>
          <t>completed</t>
        </is>
      </c>
      <c r="D2" s="17" t="n">
        <v>58289</v>
      </c>
      <c r="E2" s="17" t="n">
        <v>3491</v>
      </c>
      <c r="F2" s="17" t="n"/>
      <c r="G2" s="13" t="b">
        <v>0</v>
      </c>
      <c r="H2" s="13" t="n"/>
      <c r="I2" s="13" t="inlineStr">
        <is>
          <t>Claude workbook agent completed</t>
        </is>
      </c>
      <c r="J2" s="13" t="n"/>
      <c r="K2" s="13" t="inlineStr">
        <is>
          <t>018939a8-5f2a-46e7-9f5b-309a20147f37</t>
        </is>
      </c>
    </row>
    <row r="3">
      <c r="A3" s="13" t="inlineStr">
        <is>
          <t>018939a8</t>
        </is>
      </c>
      <c r="B3" s="13" t="inlineStr">
        <is>
          <t>2026-09-01T22:55:52.83Z</t>
        </is>
      </c>
      <c r="C3" s="13" t="inlineStr">
        <is>
          <t>completed</t>
        </is>
      </c>
      <c r="D3" s="17" t="n">
        <v>87390</v>
      </c>
      <c r="E3" s="17" t="n">
        <v>3542</v>
      </c>
      <c r="F3" s="17" t="n"/>
      <c r="G3" s="13" t="b">
        <v>0</v>
      </c>
      <c r="H3" s="13" t="n"/>
      <c r="I3" s="13" t="inlineStr">
        <is>
          <t>Claude workbook agent completed</t>
        </is>
      </c>
      <c r="J3" s="13" t="n"/>
      <c r="K3" s="13" t="inlineStr">
        <is>
          <t>018939a8-5f2a-46e7-9f5b-309a20147f37</t>
        </is>
      </c>
    </row>
    <row r="4">
      <c r="A4" s="13" t="inlineStr">
        <is>
          <t>0e3f0394</t>
        </is>
      </c>
      <c r="B4" s="13" t="inlineStr">
        <is>
          <t>2026-09-01T15:18:09.45Z</t>
        </is>
      </c>
      <c r="C4" s="13" t="inlineStr">
        <is>
          <t>completed</t>
        </is>
      </c>
      <c r="D4" s="17" t="n">
        <v>5390</v>
      </c>
      <c r="E4" s="17" t="n">
        <v>1</v>
      </c>
      <c r="F4" s="17" t="n"/>
      <c r="G4" s="13" t="b">
        <v>1</v>
      </c>
      <c r="H4" s="13" t="n"/>
      <c r="I4" s="13" t="inlineStr">
        <is>
          <t>Claude workbook agent completed</t>
        </is>
      </c>
      <c r="J4" s="13" t="n"/>
      <c r="K4" s="13" t="inlineStr">
        <is>
          <t>0e3f0394-b3e2-4e6c-836e-704eff6c48e2</t>
        </is>
      </c>
    </row>
    <row r="5">
      <c r="A5" s="13" t="inlineStr">
        <is>
          <t>0e3f0394</t>
        </is>
      </c>
      <c r="B5" s="13" t="inlineStr">
        <is>
          <t>2026-09-01T21:57:14.007Z</t>
        </is>
      </c>
      <c r="C5" s="13" t="inlineStr">
        <is>
          <t>completed</t>
        </is>
      </c>
      <c r="D5" s="17" t="n">
        <v>231844</v>
      </c>
      <c r="E5" s="17" t="n">
        <v>8360</v>
      </c>
      <c r="F5" s="17" t="n"/>
      <c r="G5" s="13" t="b">
        <v>0</v>
      </c>
      <c r="H5" s="13" t="n"/>
      <c r="I5" s="13" t="inlineStr">
        <is>
          <t>Claude workbook agent completed</t>
        </is>
      </c>
      <c r="J5" s="13" t="n"/>
      <c r="K5" s="13" t="inlineStr">
        <is>
          <t>0e3f0394-b3e2-4e6c-836e-704eff6c48e2</t>
        </is>
      </c>
    </row>
    <row r="6">
      <c r="A6" s="13" t="inlineStr">
        <is>
          <t>15a0ebf7</t>
        </is>
      </c>
      <c r="B6" s="13" t="inlineStr">
        <is>
          <t>2026-08-31T18:35:40.673Z</t>
        </is>
      </c>
      <c r="C6" s="13" t="inlineStr">
        <is>
          <t>completed</t>
        </is>
      </c>
      <c r="D6" s="17" t="n">
        <v>5411</v>
      </c>
      <c r="E6" s="17" t="n">
        <v>1</v>
      </c>
      <c r="F6" s="17" t="n"/>
      <c r="G6" s="13" t="b">
        <v>1</v>
      </c>
      <c r="H6" s="13" t="n"/>
      <c r="I6" s="13" t="inlineStr">
        <is>
          <t>Claude workbook agent completed</t>
        </is>
      </c>
      <c r="J6" s="13" t="n"/>
      <c r="K6" s="13" t="inlineStr">
        <is>
          <t>15a0ebf7-8354-4e97-bdfd-764a03bef9ee</t>
        </is>
      </c>
    </row>
    <row r="7">
      <c r="A7" s="13" t="inlineStr">
        <is>
          <t>15a0ebf7</t>
        </is>
      </c>
      <c r="B7" s="13" t="inlineStr">
        <is>
          <t>2026-09-01T21:57:19.931Z</t>
        </is>
      </c>
      <c r="C7" s="13" t="inlineStr">
        <is>
          <t>completed</t>
        </is>
      </c>
      <c r="D7" s="17" t="n">
        <v>902266</v>
      </c>
      <c r="E7" s="17" t="n">
        <v>16002</v>
      </c>
      <c r="F7" s="17" t="n"/>
      <c r="G7" s="13" t="b">
        <v>0</v>
      </c>
      <c r="H7" s="13" t="n"/>
      <c r="I7" s="13" t="inlineStr">
        <is>
          <t>Claude workbook agent completed</t>
        </is>
      </c>
      <c r="J7" s="13" t="n"/>
      <c r="K7" s="13" t="inlineStr">
        <is>
          <t>15a0ebf7-8354-4e97-bdfd-764a03bef9ee</t>
        </is>
      </c>
    </row>
    <row r="8">
      <c r="A8" s="13" t="inlineStr">
        <is>
          <t>1998a617</t>
        </is>
      </c>
      <c r="B8" s="13" t="inlineStr">
        <is>
          <t>2026-08-31T15:47:36.494Z</t>
        </is>
      </c>
      <c r="C8" s="13" t="inlineStr">
        <is>
          <t>completed</t>
        </is>
      </c>
      <c r="D8" s="17" t="n">
        <v>5437</v>
      </c>
      <c r="E8" s="17" t="n">
        <v>4</v>
      </c>
      <c r="F8" s="17" t="n"/>
      <c r="G8" s="13" t="b">
        <v>1</v>
      </c>
      <c r="H8" s="13" t="n"/>
      <c r="I8" s="13" t="inlineStr">
        <is>
          <t>Claude workbook agent completed</t>
        </is>
      </c>
      <c r="J8" s="13" t="n"/>
      <c r="K8" s="13" t="inlineStr">
        <is>
          <t>1998a617-9037-46d2-912b-adfdb4441444</t>
        </is>
      </c>
    </row>
    <row r="9">
      <c r="A9" s="13" t="inlineStr">
        <is>
          <t>1998a617</t>
        </is>
      </c>
      <c r="B9" s="13" t="inlineStr">
        <is>
          <t>2026-09-01T21:57:17.411Z</t>
        </is>
      </c>
      <c r="C9" s="13" t="inlineStr">
        <is>
          <t>completed</t>
        </is>
      </c>
      <c r="D9" s="17" t="n">
        <v>590320</v>
      </c>
      <c r="E9" s="17" t="n">
        <v>10687</v>
      </c>
      <c r="F9" s="17" t="n"/>
      <c r="G9" s="13" t="b">
        <v>0</v>
      </c>
      <c r="H9" s="13" t="n"/>
      <c r="I9" s="13" t="inlineStr">
        <is>
          <t>Claude workbook agent completed</t>
        </is>
      </c>
      <c r="J9" s="13" t="n"/>
      <c r="K9" s="13" t="inlineStr">
        <is>
          <t>1998a617-9037-46d2-912b-adfdb4441444</t>
        </is>
      </c>
    </row>
    <row r="10">
      <c r="A10" s="13" t="inlineStr">
        <is>
          <t>1ef09f14</t>
        </is>
      </c>
      <c r="B10" s="13" t="inlineStr">
        <is>
          <t>2026-09-01T15:19:06.934Z</t>
        </is>
      </c>
      <c r="C10" s="13" t="inlineStr">
        <is>
          <t>completed</t>
        </is>
      </c>
      <c r="D10" s="17" t="n">
        <v>5380</v>
      </c>
      <c r="E10" s="17" t="n">
        <v>1</v>
      </c>
      <c r="F10" s="17" t="n"/>
      <c r="G10" s="13" t="b">
        <v>1</v>
      </c>
      <c r="H10" s="13" t="n"/>
      <c r="I10" s="13" t="inlineStr">
        <is>
          <t>Claude workbook agent completed</t>
        </is>
      </c>
      <c r="J10" s="13" t="n"/>
      <c r="K10" s="13" t="inlineStr">
        <is>
          <t>1ef09f14-3119-434f-b561-884e196c6caa</t>
        </is>
      </c>
    </row>
    <row r="11">
      <c r="A11" s="13" t="inlineStr">
        <is>
          <t>1ef09f14</t>
        </is>
      </c>
      <c r="B11" s="13" t="inlineStr">
        <is>
          <t>2026-09-01T21:57:14.837Z</t>
        </is>
      </c>
      <c r="C11" s="13" t="inlineStr">
        <is>
          <t>completed</t>
        </is>
      </c>
      <c r="D11" s="17" t="n">
        <v>80859</v>
      </c>
      <c r="E11" s="17" t="n">
        <v>5771</v>
      </c>
      <c r="F11" s="17" t="n"/>
      <c r="G11" s="13" t="b">
        <v>0</v>
      </c>
      <c r="H11" s="13" t="n"/>
      <c r="I11" s="13" t="inlineStr">
        <is>
          <t>Claude workbook agent completed</t>
        </is>
      </c>
      <c r="J11" s="13" t="n"/>
      <c r="K11" s="13" t="inlineStr">
        <is>
          <t>1ef09f14-3119-434f-b561-884e196c6caa</t>
        </is>
      </c>
    </row>
    <row r="12">
      <c r="A12" s="13" t="inlineStr">
        <is>
          <t>21d534e3</t>
        </is>
      </c>
      <c r="B12" s="13" t="inlineStr">
        <is>
          <t>2026-09-01T15:19:42.585Z</t>
        </is>
      </c>
      <c r="C12" s="13" t="inlineStr">
        <is>
          <t>completed</t>
        </is>
      </c>
      <c r="D12" s="17" t="n">
        <v>5383</v>
      </c>
      <c r="E12" s="17" t="n">
        <v>7</v>
      </c>
      <c r="F12" s="17" t="n"/>
      <c r="G12" s="13" t="b">
        <v>1</v>
      </c>
      <c r="H12" s="13" t="n"/>
      <c r="I12" s="13" t="inlineStr">
        <is>
          <t>Claude workbook agent completed</t>
        </is>
      </c>
      <c r="J12" s="13" t="n"/>
      <c r="K12" s="13" t="inlineStr">
        <is>
          <t>21d534e3-8c09-46e5-8a5d-b5c55c8522a2</t>
        </is>
      </c>
    </row>
    <row r="13">
      <c r="A13" s="13" t="inlineStr">
        <is>
          <t>21d534e3</t>
        </is>
      </c>
      <c r="B13" s="13" t="inlineStr">
        <is>
          <t>2026-09-01T21:57:12.444Z</t>
        </is>
      </c>
      <c r="C13" s="13" t="inlineStr">
        <is>
          <t>completed</t>
        </is>
      </c>
      <c r="D13" s="17" t="n">
        <v>617199</v>
      </c>
      <c r="E13" s="17" t="n">
        <v>14519</v>
      </c>
      <c r="F13" s="17" t="n"/>
      <c r="G13" s="13" t="b">
        <v>0</v>
      </c>
      <c r="H13" s="13" t="n"/>
      <c r="I13" s="13" t="inlineStr">
        <is>
          <t>Claude workbook agent completed</t>
        </is>
      </c>
      <c r="J13" s="13" t="n"/>
      <c r="K13" s="13" t="inlineStr">
        <is>
          <t>21d534e3-8c09-46e5-8a5d-b5c55c8522a2</t>
        </is>
      </c>
    </row>
    <row r="14">
      <c r="A14" s="13" t="inlineStr">
        <is>
          <t>25613ef5</t>
        </is>
      </c>
      <c r="B14" s="13" t="inlineStr">
        <is>
          <t>2026-09-01T13:25:35.37Z</t>
        </is>
      </c>
      <c r="C14" s="13" t="inlineStr">
        <is>
          <t>completed</t>
        </is>
      </c>
      <c r="D14" s="17" t="n">
        <v>5389</v>
      </c>
      <c r="E14" s="17" t="n">
        <v>1</v>
      </c>
      <c r="F14" s="17" t="n"/>
      <c r="G14" s="13" t="b">
        <v>1</v>
      </c>
      <c r="H14" s="13" t="n"/>
      <c r="I14" s="13" t="inlineStr">
        <is>
          <t>Claude workbook agent completed</t>
        </is>
      </c>
      <c r="J14" s="13" t="n"/>
      <c r="K14" s="13" t="inlineStr">
        <is>
          <t>25613ef5-50aa-4ab2-b49a-4ea4b4dc519a</t>
        </is>
      </c>
    </row>
    <row r="15">
      <c r="A15" s="13" t="inlineStr">
        <is>
          <t>25613ef5</t>
        </is>
      </c>
      <c r="B15" s="13" t="inlineStr">
        <is>
          <t>2026-09-01T21:57:12.098Z</t>
        </is>
      </c>
      <c r="C15" s="13" t="inlineStr">
        <is>
          <t>completed</t>
        </is>
      </c>
      <c r="D15" s="17" t="n">
        <v>5391</v>
      </c>
      <c r="E15" s="17" t="n">
        <v>4</v>
      </c>
      <c r="F15" s="17" t="n"/>
      <c r="G15" s="13" t="b">
        <v>1</v>
      </c>
      <c r="H15" s="13" t="n"/>
      <c r="I15" s="13" t="inlineStr">
        <is>
          <t>Claude workbook agent completed</t>
        </is>
      </c>
      <c r="J15" s="13" t="n"/>
      <c r="K15" s="13" t="inlineStr">
        <is>
          <t>25613ef5-50aa-4ab2-b49a-4ea4b4dc519a</t>
        </is>
      </c>
    </row>
    <row r="16">
      <c r="A16" s="13" t="inlineStr">
        <is>
          <t>27b833b2</t>
        </is>
      </c>
      <c r="B16" s="13" t="inlineStr">
        <is>
          <t>2026-09-01T20:29:58.888Z</t>
        </is>
      </c>
      <c r="C16" s="13" t="inlineStr">
        <is>
          <t>completed</t>
        </is>
      </c>
      <c r="D16" s="17" t="n">
        <v>5392</v>
      </c>
      <c r="E16" s="17" t="n">
        <v>4</v>
      </c>
      <c r="F16" s="17" t="n"/>
      <c r="G16" s="13" t="b">
        <v>1</v>
      </c>
      <c r="H16" s="13" t="n"/>
      <c r="I16" s="13" t="inlineStr">
        <is>
          <t>Claude workbook agent completed</t>
        </is>
      </c>
      <c r="J16" s="13" t="n"/>
      <c r="K16" s="13" t="inlineStr">
        <is>
          <t>27b833b2-b759-439b-aa91-db78616e22b8</t>
        </is>
      </c>
    </row>
    <row r="17">
      <c r="A17" s="13" t="inlineStr">
        <is>
          <t>27b833b2</t>
        </is>
      </c>
      <c r="B17" s="13" t="inlineStr">
        <is>
          <t>2026-09-01T21:57:15.357Z</t>
        </is>
      </c>
      <c r="C17" s="13" t="inlineStr">
        <is>
          <t>completed</t>
        </is>
      </c>
      <c r="D17" s="17" t="n">
        <v>364933</v>
      </c>
      <c r="E17" s="17" t="n">
        <v>10263</v>
      </c>
      <c r="F17" s="17" t="n"/>
      <c r="G17" s="13" t="b">
        <v>0</v>
      </c>
      <c r="H17" s="13" t="n"/>
      <c r="I17" s="13" t="inlineStr">
        <is>
          <t>Claude workbook agent completed</t>
        </is>
      </c>
      <c r="J17" s="13" t="n"/>
      <c r="K17" s="13" t="inlineStr">
        <is>
          <t>27b833b2-b759-439b-aa91-db78616e22b8</t>
        </is>
      </c>
    </row>
    <row r="18">
      <c r="A18" s="13" t="inlineStr">
        <is>
          <t>29ea5ad8</t>
        </is>
      </c>
      <c r="B18" s="13" t="inlineStr">
        <is>
          <t>2026-08-31T22:33:35.89Z</t>
        </is>
      </c>
      <c r="C18" s="13" t="inlineStr">
        <is>
          <t>completed</t>
        </is>
      </c>
      <c r="D18" s="17" t="n">
        <v>5386</v>
      </c>
      <c r="E18" s="17" t="n">
        <v>4</v>
      </c>
      <c r="F18" s="17" t="n"/>
      <c r="G18" s="13" t="b">
        <v>1</v>
      </c>
      <c r="H18" s="13" t="n"/>
      <c r="I18" s="13" t="inlineStr">
        <is>
          <t>Claude workbook agent completed</t>
        </is>
      </c>
      <c r="J18" s="13" t="n"/>
      <c r="K18" s="13" t="inlineStr">
        <is>
          <t>29ea5ad8-04b1-4dc4-8220-ae9df37ae12d</t>
        </is>
      </c>
    </row>
    <row r="19">
      <c r="A19" s="13" t="inlineStr">
        <is>
          <t>29ea5ad8</t>
        </is>
      </c>
      <c r="B19" s="13" t="inlineStr">
        <is>
          <t>2026-09-01T21:57:10.72Z</t>
        </is>
      </c>
      <c r="C19" s="13" t="inlineStr">
        <is>
          <t>completed</t>
        </is>
      </c>
      <c r="D19" s="17" t="n">
        <v>325845</v>
      </c>
      <c r="E19" s="17" t="n">
        <v>7793</v>
      </c>
      <c r="F19" s="17" t="n"/>
      <c r="G19" s="13" t="b">
        <v>0</v>
      </c>
      <c r="H19" s="13" t="n"/>
      <c r="I19" s="13" t="inlineStr">
        <is>
          <t>Claude workbook agent completed</t>
        </is>
      </c>
      <c r="J19" s="13" t="n"/>
      <c r="K19" s="13" t="inlineStr">
        <is>
          <t>29ea5ad8-04b1-4dc4-8220-ae9df37ae12d</t>
        </is>
      </c>
    </row>
    <row r="20">
      <c r="A20" s="13" t="inlineStr">
        <is>
          <t>2a63059e</t>
        </is>
      </c>
      <c r="B20" s="13" t="inlineStr">
        <is>
          <t>2026-09-01T15:48:37.893Z</t>
        </is>
      </c>
      <c r="C20" s="13" t="inlineStr">
        <is>
          <t>completed</t>
        </is>
      </c>
      <c r="D20" s="17" t="n">
        <v>5392</v>
      </c>
      <c r="E20" s="17" t="n">
        <v>4</v>
      </c>
      <c r="F20" s="17" t="n"/>
      <c r="G20" s="13" t="b">
        <v>1</v>
      </c>
      <c r="H20" s="13" t="n"/>
      <c r="I20" s="13" t="inlineStr">
        <is>
          <t>Claude workbook agent completed</t>
        </is>
      </c>
      <c r="J20" s="13" t="n"/>
      <c r="K20" s="13" t="inlineStr">
        <is>
          <t>2a63059e-b08b-495f-90df-23bb38eccd3f</t>
        </is>
      </c>
    </row>
    <row r="21">
      <c r="A21" s="13" t="inlineStr">
        <is>
          <t>2a63059e</t>
        </is>
      </c>
      <c r="B21" s="13" t="inlineStr">
        <is>
          <t>2026-09-01T21:57:13.968Z</t>
        </is>
      </c>
      <c r="C21" s="13" t="inlineStr">
        <is>
          <t>completed</t>
        </is>
      </c>
      <c r="D21" s="17" t="n">
        <v>201784</v>
      </c>
      <c r="E21" s="17" t="n">
        <v>7610</v>
      </c>
      <c r="F21" s="17" t="n"/>
      <c r="G21" s="13" t="b">
        <v>0</v>
      </c>
      <c r="H21" s="13" t="n"/>
      <c r="I21" s="13" t="inlineStr">
        <is>
          <t>Claude workbook agent completed</t>
        </is>
      </c>
      <c r="J21" s="13" t="n"/>
      <c r="K21" s="13" t="inlineStr">
        <is>
          <t>2a63059e-b08b-495f-90df-23bb38eccd3f</t>
        </is>
      </c>
    </row>
    <row r="22">
      <c r="A22" s="13" t="inlineStr">
        <is>
          <t>337252e6</t>
        </is>
      </c>
      <c r="B22" s="13" t="inlineStr">
        <is>
          <t>2026-09-01T18:17:41.403Z</t>
        </is>
      </c>
      <c r="C22" s="13" t="inlineStr">
        <is>
          <t>completed</t>
        </is>
      </c>
      <c r="D22" s="17" t="n">
        <v>5389</v>
      </c>
      <c r="E22" s="17" t="n">
        <v>4</v>
      </c>
      <c r="F22" s="17" t="n"/>
      <c r="G22" s="13" t="b">
        <v>1</v>
      </c>
      <c r="H22" s="13" t="n"/>
      <c r="I22" s="13" t="inlineStr">
        <is>
          <t>Claude workbook agent completed</t>
        </is>
      </c>
      <c r="J22" s="13" t="n"/>
      <c r="K22" s="13" t="inlineStr">
        <is>
          <t>337252e6-80dc-4b36-b284-7b83b4e5617f</t>
        </is>
      </c>
    </row>
    <row r="23">
      <c r="A23" s="13" t="inlineStr">
        <is>
          <t>337252e6</t>
        </is>
      </c>
      <c r="B23" s="13" t="inlineStr">
        <is>
          <t>2026-09-01T21:57:13.849Z</t>
        </is>
      </c>
      <c r="C23" s="13" t="inlineStr">
        <is>
          <t>completed</t>
        </is>
      </c>
      <c r="D23" s="17" t="n">
        <v>5387</v>
      </c>
      <c r="E23" s="17" t="n">
        <v>1</v>
      </c>
      <c r="F23" s="17" t="n"/>
      <c r="G23" s="13" t="b">
        <v>1</v>
      </c>
      <c r="H23" s="13" t="n"/>
      <c r="I23" s="13" t="inlineStr">
        <is>
          <t>Claude workbook agent completed</t>
        </is>
      </c>
      <c r="J23" s="13" t="n"/>
      <c r="K23" s="13" t="inlineStr">
        <is>
          <t>337252e6-80dc-4b36-b284-7b83b4e5617f</t>
        </is>
      </c>
    </row>
    <row r="24">
      <c r="A24" s="13" t="inlineStr">
        <is>
          <t>3d3b229e</t>
        </is>
      </c>
      <c r="B24" s="13" t="inlineStr">
        <is>
          <t>2026-09-01T18:32:26.688Z</t>
        </is>
      </c>
      <c r="C24" s="13" t="inlineStr">
        <is>
          <t>completed</t>
        </is>
      </c>
      <c r="D24" s="17" t="n">
        <v>5391</v>
      </c>
      <c r="E24" s="17" t="n">
        <v>4</v>
      </c>
      <c r="F24" s="17" t="n"/>
      <c r="G24" s="13" t="b">
        <v>1</v>
      </c>
      <c r="H24" s="13" t="n"/>
      <c r="I24" s="13" t="inlineStr">
        <is>
          <t>Claude workbook agent completed</t>
        </is>
      </c>
      <c r="J24" s="13" t="n"/>
      <c r="K24" s="13" t="inlineStr">
        <is>
          <t>3d3b229e-0507-4539-8343-193a679d5f5c</t>
        </is>
      </c>
    </row>
    <row r="25">
      <c r="A25" s="13" t="inlineStr">
        <is>
          <t>3d3b229e</t>
        </is>
      </c>
      <c r="B25" s="13" t="inlineStr">
        <is>
          <t>2026-09-01T21:57:17.375Z</t>
        </is>
      </c>
      <c r="C25" s="13" t="inlineStr">
        <is>
          <t>completed</t>
        </is>
      </c>
      <c r="D25" s="17" t="n">
        <v>5387</v>
      </c>
      <c r="E25" s="17" t="n">
        <v>7</v>
      </c>
      <c r="F25" s="17" t="n"/>
      <c r="G25" s="13" t="b">
        <v>1</v>
      </c>
      <c r="H25" s="13" t="n"/>
      <c r="I25" s="13" t="inlineStr">
        <is>
          <t>Claude workbook agent completed</t>
        </is>
      </c>
      <c r="J25" s="13" t="n"/>
      <c r="K25" s="13" t="inlineStr">
        <is>
          <t>3d3b229e-0507-4539-8343-193a679d5f5c</t>
        </is>
      </c>
    </row>
    <row r="26">
      <c r="A26" s="13" t="inlineStr">
        <is>
          <t>3d458c2a</t>
        </is>
      </c>
      <c r="B26" s="13" t="inlineStr">
        <is>
          <t>2026-09-01T14:56:50.043Z</t>
        </is>
      </c>
      <c r="C26" s="13" t="inlineStr">
        <is>
          <t>completed</t>
        </is>
      </c>
      <c r="D26" s="17" t="n">
        <v>5384</v>
      </c>
      <c r="E26" s="17" t="n">
        <v>4</v>
      </c>
      <c r="F26" s="17" t="n"/>
      <c r="G26" s="13" t="b">
        <v>1</v>
      </c>
      <c r="H26" s="13" t="n"/>
      <c r="I26" s="13" t="inlineStr">
        <is>
          <t>Claude workbook agent completed</t>
        </is>
      </c>
      <c r="J26" s="13" t="n"/>
      <c r="K26" s="13" t="inlineStr">
        <is>
          <t>3d458c2a-cfe5-4a22-9f35-1c48780f5a38</t>
        </is>
      </c>
    </row>
    <row r="27">
      <c r="A27" s="13" t="inlineStr">
        <is>
          <t>3d458c2a</t>
        </is>
      </c>
      <c r="B27" s="13" t="inlineStr">
        <is>
          <t>2026-09-01T21:57:15.959Z</t>
        </is>
      </c>
      <c r="C27" s="13" t="inlineStr">
        <is>
          <t>completed</t>
        </is>
      </c>
      <c r="D27" s="17" t="n">
        <v>75099</v>
      </c>
      <c r="E27" s="17" t="n">
        <v>5726</v>
      </c>
      <c r="F27" s="17" t="n"/>
      <c r="G27" s="13" t="b">
        <v>0</v>
      </c>
      <c r="H27" s="13" t="n"/>
      <c r="I27" s="13" t="inlineStr">
        <is>
          <t>Claude workbook agent completed</t>
        </is>
      </c>
      <c r="J27" s="13" t="n"/>
      <c r="K27" s="13" t="inlineStr">
        <is>
          <t>3d458c2a-cfe5-4a22-9f35-1c48780f5a38</t>
        </is>
      </c>
    </row>
    <row r="28">
      <c r="A28" s="13" t="inlineStr">
        <is>
          <t>4073b29f</t>
        </is>
      </c>
      <c r="B28" s="13" t="inlineStr">
        <is>
          <t>2026-08-31T16:45:20.919Z</t>
        </is>
      </c>
      <c r="C28" s="13" t="inlineStr">
        <is>
          <t>completed</t>
        </is>
      </c>
      <c r="D28" s="17" t="n">
        <v>5408</v>
      </c>
      <c r="E28" s="17" t="n">
        <v>7</v>
      </c>
      <c r="F28" s="17" t="n"/>
      <c r="G28" s="13" t="b">
        <v>1</v>
      </c>
      <c r="H28" s="13" t="n"/>
      <c r="I28" s="13" t="inlineStr">
        <is>
          <t>Claude workbook agent completed</t>
        </is>
      </c>
      <c r="J28" s="13" t="n"/>
      <c r="K28" s="13" t="inlineStr">
        <is>
          <t>4073b29f-25e1-4432-8bf5-0b7c4be497db</t>
        </is>
      </c>
    </row>
    <row r="29">
      <c r="A29" s="13" t="inlineStr">
        <is>
          <t>4073b29f</t>
        </is>
      </c>
      <c r="B29" s="13" t="inlineStr">
        <is>
          <t>2026-09-01T21:57:20.007Z</t>
        </is>
      </c>
      <c r="C29" s="13" t="inlineStr">
        <is>
          <t>completed</t>
        </is>
      </c>
      <c r="D29" s="17" t="n">
        <v>550448</v>
      </c>
      <c r="E29" s="17" t="n">
        <v>11856</v>
      </c>
      <c r="F29" s="17" t="n"/>
      <c r="G29" s="13" t="b">
        <v>0</v>
      </c>
      <c r="H29" s="13" t="n"/>
      <c r="I29" s="13" t="inlineStr">
        <is>
          <t>Claude workbook agent completed</t>
        </is>
      </c>
      <c r="J29" s="13" t="n"/>
      <c r="K29" s="13" t="inlineStr">
        <is>
          <t>4073b29f-25e1-4432-8bf5-0b7c4be497db</t>
        </is>
      </c>
    </row>
    <row r="30">
      <c r="A30" s="13" t="inlineStr">
        <is>
          <t>40827f51</t>
        </is>
      </c>
      <c r="B30" s="13" t="inlineStr">
        <is>
          <t>2026-09-01T14:36:46.775Z</t>
        </is>
      </c>
      <c r="C30" s="13" t="inlineStr">
        <is>
          <t>completed</t>
        </is>
      </c>
      <c r="D30" s="17" t="n">
        <v>5388</v>
      </c>
      <c r="E30" s="17" t="n">
        <v>7</v>
      </c>
      <c r="F30" s="17" t="n"/>
      <c r="G30" s="13" t="b">
        <v>1</v>
      </c>
      <c r="H30" s="13" t="n"/>
      <c r="I30" s="13" t="inlineStr">
        <is>
          <t>Claude workbook agent completed</t>
        </is>
      </c>
      <c r="J30" s="13" t="n"/>
      <c r="K30" s="13" t="inlineStr">
        <is>
          <t>40827f51-9058-4a34-aa53-cffedf1af118</t>
        </is>
      </c>
    </row>
    <row r="31">
      <c r="A31" s="13" t="inlineStr">
        <is>
          <t>40827f51</t>
        </is>
      </c>
      <c r="B31" s="13" t="inlineStr">
        <is>
          <t>2026-09-01T22:55:53.148Z</t>
        </is>
      </c>
      <c r="C31" s="13" t="inlineStr">
        <is>
          <t>completed</t>
        </is>
      </c>
      <c r="D31" s="17" t="n">
        <v>111708</v>
      </c>
      <c r="E31" s="17" t="n">
        <v>5540</v>
      </c>
      <c r="F31" s="17" t="n"/>
      <c r="G31" s="13" t="b">
        <v>0</v>
      </c>
      <c r="H31" s="13" t="n"/>
      <c r="I31" s="13" t="inlineStr">
        <is>
          <t>Claude workbook agent completed</t>
        </is>
      </c>
      <c r="J31" s="13" t="n"/>
      <c r="K31" s="13" t="inlineStr">
        <is>
          <t>40827f51-9058-4a34-aa53-cffedf1af118</t>
        </is>
      </c>
    </row>
    <row r="32">
      <c r="A32" s="13" t="inlineStr">
        <is>
          <t>41fbe12c</t>
        </is>
      </c>
      <c r="B32" s="13" t="inlineStr">
        <is>
          <t>2026-08-31T13:48:23.467Z</t>
        </is>
      </c>
      <c r="C32" s="13" t="inlineStr">
        <is>
          <t>completed</t>
        </is>
      </c>
      <c r="D32" s="17" t="n">
        <v>5381</v>
      </c>
      <c r="E32" s="17" t="n">
        <v>1</v>
      </c>
      <c r="F32" s="17" t="n"/>
      <c r="G32" s="13" t="b">
        <v>1</v>
      </c>
      <c r="H32" s="13" t="n"/>
      <c r="I32" s="13" t="inlineStr">
        <is>
          <t>Claude workbook agent completed</t>
        </is>
      </c>
      <c r="J32" s="13" t="n"/>
      <c r="K32" s="13" t="inlineStr">
        <is>
          <t>41fbe12c-7c20-463d-96e8-4ae8700d1c0d</t>
        </is>
      </c>
    </row>
    <row r="33">
      <c r="A33" s="13" t="inlineStr">
        <is>
          <t>41fbe12c</t>
        </is>
      </c>
      <c r="B33" s="13" t="inlineStr">
        <is>
          <t>2026-08-31T14:18:17.412Z</t>
        </is>
      </c>
      <c r="C33" s="13" t="inlineStr">
        <is>
          <t>completed</t>
        </is>
      </c>
      <c r="D33" s="17" t="n">
        <v>5377</v>
      </c>
      <c r="E33" s="17" t="n">
        <v>1</v>
      </c>
      <c r="F33" s="17" t="n"/>
      <c r="G33" s="13" t="b">
        <v>1</v>
      </c>
      <c r="H33" s="13" t="n"/>
      <c r="I33" s="13" t="inlineStr">
        <is>
          <t>Claude workbook agent completed</t>
        </is>
      </c>
      <c r="J33" s="13" t="n"/>
      <c r="K33" s="13" t="inlineStr">
        <is>
          <t>41fbe12c-7c20-463d-96e8-4ae8700d1c0d</t>
        </is>
      </c>
    </row>
    <row r="34">
      <c r="A34" s="13" t="inlineStr">
        <is>
          <t>41fbe12c</t>
        </is>
      </c>
      <c r="B34" s="13" t="inlineStr">
        <is>
          <t>2026-08-31T14:23:58.862Z</t>
        </is>
      </c>
      <c r="C34" s="13" t="inlineStr">
        <is>
          <t>completed</t>
        </is>
      </c>
      <c r="D34" s="17" t="n">
        <v>5382</v>
      </c>
      <c r="E34" s="17" t="n">
        <v>5</v>
      </c>
      <c r="F34" s="17" t="n"/>
      <c r="G34" s="13" t="b">
        <v>1</v>
      </c>
      <c r="H34" s="13" t="n"/>
      <c r="I34" s="13" t="inlineStr">
        <is>
          <t>Claude workbook agent completed</t>
        </is>
      </c>
      <c r="J34" s="13" t="n"/>
      <c r="K34" s="13" t="inlineStr">
        <is>
          <t>41fbe12c-7c20-463d-96e8-4ae8700d1c0d</t>
        </is>
      </c>
    </row>
    <row r="35">
      <c r="A35" s="13" t="inlineStr">
        <is>
          <t>41fbe12c</t>
        </is>
      </c>
      <c r="B35" s="13" t="inlineStr">
        <is>
          <t>2026-09-01T22:55:53.618Z</t>
        </is>
      </c>
      <c r="C35" s="13" t="inlineStr">
        <is>
          <t>completed</t>
        </is>
      </c>
      <c r="D35" s="17" t="n">
        <v>805080</v>
      </c>
      <c r="E35" s="17" t="n">
        <v>13754</v>
      </c>
      <c r="F35" s="17" t="n"/>
      <c r="G35" s="13" t="b">
        <v>0</v>
      </c>
      <c r="H35" s="13" t="n"/>
      <c r="I35" s="13" t="inlineStr">
        <is>
          <t>Claude workbook agent completed</t>
        </is>
      </c>
      <c r="J35" s="13" t="n"/>
      <c r="K35" s="13" t="inlineStr">
        <is>
          <t>41fbe12c-7c20-463d-96e8-4ae8700d1c0d</t>
        </is>
      </c>
    </row>
    <row r="36">
      <c r="A36" s="13" t="inlineStr">
        <is>
          <t>437756ce</t>
        </is>
      </c>
      <c r="B36" s="13" t="inlineStr">
        <is>
          <t>2026-09-02T00:01:43.542Z</t>
        </is>
      </c>
      <c r="C36" s="13" t="inlineStr">
        <is>
          <t>completed</t>
        </is>
      </c>
      <c r="D36" s="17" t="n">
        <v>5391</v>
      </c>
      <c r="E36" s="17" t="n">
        <v>1</v>
      </c>
      <c r="F36" s="17" t="n"/>
      <c r="G36" s="13" t="b">
        <v>1</v>
      </c>
      <c r="H36" s="13" t="n"/>
      <c r="I36" s="13" t="inlineStr">
        <is>
          <t>Claude workbook agent completed</t>
        </is>
      </c>
      <c r="J36" s="13" t="n"/>
      <c r="K36" s="13" t="inlineStr">
        <is>
          <t>437756ce-b81b-403d-8a2d-be439ba78b4a</t>
        </is>
      </c>
    </row>
    <row r="37">
      <c r="A37" s="13" t="inlineStr">
        <is>
          <t>443385cc</t>
        </is>
      </c>
      <c r="B37" s="13" t="inlineStr">
        <is>
          <t>2026-08-31T15:41:20.629Z</t>
        </is>
      </c>
      <c r="C37" s="13" t="inlineStr">
        <is>
          <t>completed</t>
        </is>
      </c>
      <c r="D37" s="17" t="n">
        <v>5386</v>
      </c>
      <c r="E37" s="17" t="n">
        <v>1</v>
      </c>
      <c r="F37" s="17" t="n"/>
      <c r="G37" s="13" t="b">
        <v>1</v>
      </c>
      <c r="H37" s="13" t="n"/>
      <c r="I37" s="13" t="inlineStr">
        <is>
          <t>Claude workbook agent completed</t>
        </is>
      </c>
      <c r="J37" s="13" t="n"/>
      <c r="K37" s="13" t="inlineStr">
        <is>
          <t>443385cc-42c6-486b-ac8e-fd8724d99160</t>
        </is>
      </c>
    </row>
    <row r="38">
      <c r="A38" s="13" t="inlineStr">
        <is>
          <t>443385cc</t>
        </is>
      </c>
      <c r="B38" s="13" t="inlineStr">
        <is>
          <t>2026-09-01T21:57:18.584Z</t>
        </is>
      </c>
      <c r="C38" s="13" t="inlineStr">
        <is>
          <t>completed</t>
        </is>
      </c>
      <c r="D38" s="17" t="n">
        <v>246647</v>
      </c>
      <c r="E38" s="17" t="n">
        <v>8273</v>
      </c>
      <c r="F38" s="17" t="n"/>
      <c r="G38" s="13" t="b">
        <v>0</v>
      </c>
      <c r="H38" s="13" t="n"/>
      <c r="I38" s="13" t="inlineStr">
        <is>
          <t>Claude workbook agent completed</t>
        </is>
      </c>
      <c r="J38" s="13" t="n"/>
      <c r="K38" s="13" t="inlineStr">
        <is>
          <t>443385cc-42c6-486b-ac8e-fd8724d99160</t>
        </is>
      </c>
    </row>
    <row r="39">
      <c r="A39" s="13" t="inlineStr">
        <is>
          <t>4f56a4bf</t>
        </is>
      </c>
      <c r="B39" s="13" t="inlineStr">
        <is>
          <t>2026-09-01T16:19:54.074Z</t>
        </is>
      </c>
      <c r="C39" s="13" t="inlineStr">
        <is>
          <t>completed</t>
        </is>
      </c>
      <c r="D39" s="17" t="n">
        <v>5385</v>
      </c>
      <c r="E39" s="17" t="n">
        <v>1</v>
      </c>
      <c r="F39" s="17" t="n"/>
      <c r="G39" s="13" t="b">
        <v>1</v>
      </c>
      <c r="H39" s="13" t="n"/>
      <c r="I39" s="13" t="inlineStr">
        <is>
          <t>Claude workbook agent completed</t>
        </is>
      </c>
      <c r="J39" s="13" t="n"/>
      <c r="K39" s="13" t="inlineStr">
        <is>
          <t>4f56a4bf-a1c1-4a5a-a04b-0002394e52c8</t>
        </is>
      </c>
    </row>
    <row r="40">
      <c r="A40" s="13" t="inlineStr">
        <is>
          <t>4f56a4bf</t>
        </is>
      </c>
      <c r="B40" s="13" t="inlineStr">
        <is>
          <t>2026-09-01T21:57:13.175Z</t>
        </is>
      </c>
      <c r="C40" s="13" t="inlineStr">
        <is>
          <t>completed</t>
        </is>
      </c>
      <c r="D40" s="17" t="n">
        <v>1787806</v>
      </c>
      <c r="E40" s="17" t="n">
        <v>13833</v>
      </c>
      <c r="F40" s="17" t="n"/>
      <c r="G40" s="13" t="b">
        <v>0</v>
      </c>
      <c r="H40" s="13" t="n"/>
      <c r="I40" s="13" t="inlineStr">
        <is>
          <t>Claude workbook agent completed</t>
        </is>
      </c>
      <c r="J40" s="13" t="n"/>
      <c r="K40" s="13" t="inlineStr">
        <is>
          <t>4f56a4bf-a1c1-4a5a-a04b-0002394e52c8</t>
        </is>
      </c>
    </row>
    <row r="41">
      <c r="A41" s="13" t="inlineStr">
        <is>
          <t>552a9578</t>
        </is>
      </c>
      <c r="B41" s="13" t="inlineStr">
        <is>
          <t>2026-08-31T15:21:25.669Z</t>
        </is>
      </c>
      <c r="C41" s="13" t="inlineStr">
        <is>
          <t>completed</t>
        </is>
      </c>
      <c r="D41" s="17" t="n">
        <v>5385</v>
      </c>
      <c r="E41" s="17" t="n">
        <v>7</v>
      </c>
      <c r="F41" s="17" t="n"/>
      <c r="G41" s="13" t="b">
        <v>1</v>
      </c>
      <c r="H41" s="13" t="n"/>
      <c r="I41" s="13" t="inlineStr">
        <is>
          <t>Claude workbook agent completed</t>
        </is>
      </c>
      <c r="J41" s="13" t="n"/>
      <c r="K41" s="13" t="inlineStr">
        <is>
          <t>552a9578-aaf8-453b-8f58-e85a1ed40315</t>
        </is>
      </c>
    </row>
    <row r="42">
      <c r="A42" s="13" t="inlineStr">
        <is>
          <t>552a9578</t>
        </is>
      </c>
      <c r="B42" s="13" t="inlineStr">
        <is>
          <t>2026-09-01T21:57:15.618Z</t>
        </is>
      </c>
      <c r="C42" s="13" t="inlineStr">
        <is>
          <t>completed</t>
        </is>
      </c>
      <c r="D42" s="17" t="n">
        <v>1252033</v>
      </c>
      <c r="E42" s="17" t="n">
        <v>15059</v>
      </c>
      <c r="F42" s="17" t="n"/>
      <c r="G42" s="13" t="b">
        <v>0</v>
      </c>
      <c r="H42" s="13" t="n"/>
      <c r="I42" s="13" t="inlineStr">
        <is>
          <t>Claude workbook agent completed</t>
        </is>
      </c>
      <c r="J42" s="13" t="n"/>
      <c r="K42" s="13" t="inlineStr">
        <is>
          <t>552a9578-aaf8-453b-8f58-e85a1ed40315</t>
        </is>
      </c>
    </row>
    <row r="43">
      <c r="A43" s="13" t="inlineStr">
        <is>
          <t>5961c436</t>
        </is>
      </c>
      <c r="B43" s="13" t="inlineStr">
        <is>
          <t>2026-08-31T16:18:58.396Z</t>
        </is>
      </c>
      <c r="C43" s="13" t="inlineStr">
        <is>
          <t>completed</t>
        </is>
      </c>
      <c r="D43" s="17" t="n">
        <v>5380</v>
      </c>
      <c r="E43" s="17" t="n">
        <v>7</v>
      </c>
      <c r="F43" s="17" t="n"/>
      <c r="G43" s="13" t="b">
        <v>1</v>
      </c>
      <c r="H43" s="13" t="n"/>
      <c r="I43" s="13" t="inlineStr">
        <is>
          <t>Claude workbook agent completed</t>
        </is>
      </c>
      <c r="J43" s="13" t="n"/>
      <c r="K43" s="13" t="inlineStr">
        <is>
          <t>5961c436-e583-4000-ad25-cc8e11a634ae</t>
        </is>
      </c>
    </row>
    <row r="44">
      <c r="A44" s="13" t="inlineStr">
        <is>
          <t>5961c436</t>
        </is>
      </c>
      <c r="B44" s="13" t="inlineStr">
        <is>
          <t>2026-09-01T22:55:54.268Z</t>
        </is>
      </c>
      <c r="C44" s="13" t="inlineStr">
        <is>
          <t>completed</t>
        </is>
      </c>
      <c r="D44" s="17" t="n">
        <v>283120</v>
      </c>
      <c r="E44" s="17" t="n">
        <v>6917</v>
      </c>
      <c r="F44" s="17" t="n"/>
      <c r="G44" s="13" t="b">
        <v>0</v>
      </c>
      <c r="H44" s="13" t="n"/>
      <c r="I44" s="13" t="inlineStr">
        <is>
          <t>Claude workbook agent completed</t>
        </is>
      </c>
      <c r="J44" s="13" t="n"/>
      <c r="K44" s="13" t="inlineStr">
        <is>
          <t>5961c436-e583-4000-ad25-cc8e11a634ae</t>
        </is>
      </c>
    </row>
    <row r="45">
      <c r="A45" s="13" t="inlineStr">
        <is>
          <t>5961c436</t>
        </is>
      </c>
      <c r="B45" s="13" t="inlineStr">
        <is>
          <t>2026-09-02T00:02:26.537Z</t>
        </is>
      </c>
      <c r="C45" s="13" t="inlineStr">
        <is>
          <t>completed</t>
        </is>
      </c>
      <c r="D45" s="17" t="n">
        <v>382469</v>
      </c>
      <c r="E45" s="17" t="n">
        <v>10257</v>
      </c>
      <c r="F45" s="17" t="n"/>
      <c r="G45" s="13" t="b">
        <v>0</v>
      </c>
      <c r="H45" s="13" t="n"/>
      <c r="I45" s="13" t="inlineStr">
        <is>
          <t>Claude workbook agent completed</t>
        </is>
      </c>
      <c r="J45" s="13" t="n"/>
      <c r="K45" s="13" t="inlineStr">
        <is>
          <t>5961c436-e583-4000-ad25-cc8e11a634ae</t>
        </is>
      </c>
    </row>
    <row r="46">
      <c r="A46" s="13" t="inlineStr">
        <is>
          <t>5a1f3794</t>
        </is>
      </c>
      <c r="B46" s="13" t="inlineStr">
        <is>
          <t>2026-08-31T19:12:04.549Z</t>
        </is>
      </c>
      <c r="C46" s="13" t="inlineStr">
        <is>
          <t>completed</t>
        </is>
      </c>
      <c r="D46" s="17" t="n">
        <v>5389</v>
      </c>
      <c r="E46" s="17" t="n">
        <v>7</v>
      </c>
      <c r="F46" s="17" t="n"/>
      <c r="G46" s="13" t="b">
        <v>1</v>
      </c>
      <c r="H46" s="13" t="n"/>
      <c r="I46" s="13" t="inlineStr">
        <is>
          <t>Claude workbook agent completed</t>
        </is>
      </c>
      <c r="J46" s="13" t="n"/>
      <c r="K46" s="13" t="inlineStr">
        <is>
          <t>5a1f3794-1251-431a-b97d-4cf2107ffed8</t>
        </is>
      </c>
    </row>
    <row r="47">
      <c r="A47" s="13" t="inlineStr">
        <is>
          <t>5a1f3794</t>
        </is>
      </c>
      <c r="B47" s="13" t="inlineStr">
        <is>
          <t>2026-09-01T22:55:54.332Z</t>
        </is>
      </c>
      <c r="C47" s="13" t="inlineStr">
        <is>
          <t>completed</t>
        </is>
      </c>
      <c r="D47" s="17" t="n">
        <v>93690</v>
      </c>
      <c r="E47" s="17" t="n">
        <v>5995</v>
      </c>
      <c r="F47" s="17" t="n"/>
      <c r="G47" s="13" t="b">
        <v>0</v>
      </c>
      <c r="H47" s="13" t="n"/>
      <c r="I47" s="13" t="inlineStr">
        <is>
          <t>Claude workbook agent completed</t>
        </is>
      </c>
      <c r="J47" s="13" t="n"/>
      <c r="K47" s="13" t="inlineStr">
        <is>
          <t>5a1f3794-1251-431a-b97d-4cf2107ffed8</t>
        </is>
      </c>
    </row>
    <row r="48">
      <c r="A48" s="13" t="inlineStr">
        <is>
          <t>5da033e5</t>
        </is>
      </c>
      <c r="B48" s="13" t="inlineStr">
        <is>
          <t>2026-08-31T21:52:25.539Z</t>
        </is>
      </c>
      <c r="C48" s="13" t="inlineStr">
        <is>
          <t>completed</t>
        </is>
      </c>
      <c r="D48" s="17" t="n">
        <v>5385</v>
      </c>
      <c r="E48" s="17" t="n">
        <v>4</v>
      </c>
      <c r="F48" s="17" t="n"/>
      <c r="G48" s="13" t="b">
        <v>1</v>
      </c>
      <c r="H48" s="13" t="n"/>
      <c r="I48" s="13" t="inlineStr">
        <is>
          <t>Claude workbook agent completed</t>
        </is>
      </c>
      <c r="J48" s="13" t="n"/>
      <c r="K48" s="13" t="inlineStr">
        <is>
          <t>5da033e5-0b26-4526-afaf-8e71e57612a4</t>
        </is>
      </c>
    </row>
    <row r="49">
      <c r="A49" s="13" t="inlineStr">
        <is>
          <t>5da033e5</t>
        </is>
      </c>
      <c r="B49" s="13" t="inlineStr">
        <is>
          <t>2026-09-01T21:57:11.838Z</t>
        </is>
      </c>
      <c r="C49" s="13" t="inlineStr">
        <is>
          <t>completed</t>
        </is>
      </c>
      <c r="D49" s="17" t="n">
        <v>228189</v>
      </c>
      <c r="E49" s="17" t="n">
        <v>4614</v>
      </c>
      <c r="F49" s="17" t="n"/>
      <c r="G49" s="13" t="b">
        <v>0</v>
      </c>
      <c r="H49" s="13" t="n"/>
      <c r="I49" s="13" t="inlineStr">
        <is>
          <t>Claude workbook agent completed</t>
        </is>
      </c>
      <c r="J49" s="13" t="n"/>
      <c r="K49" s="13" t="inlineStr">
        <is>
          <t>5da033e5-0b26-4526-afaf-8e71e57612a4</t>
        </is>
      </c>
    </row>
    <row r="50">
      <c r="A50" s="13" t="inlineStr">
        <is>
          <t>62d0dff1</t>
        </is>
      </c>
      <c r="B50" s="13" t="inlineStr">
        <is>
          <t>2026-08-31T15:16:57.012Z</t>
        </is>
      </c>
      <c r="C50" s="13" t="inlineStr">
        <is>
          <t>completed</t>
        </is>
      </c>
      <c r="D50" s="17" t="n">
        <v>5392</v>
      </c>
      <c r="E50" s="17" t="n">
        <v>1</v>
      </c>
      <c r="F50" s="17" t="n"/>
      <c r="G50" s="13" t="b">
        <v>1</v>
      </c>
      <c r="H50" s="13" t="n"/>
      <c r="I50" s="13" t="inlineStr">
        <is>
          <t>Claude workbook agent completed</t>
        </is>
      </c>
      <c r="J50" s="13" t="n"/>
      <c r="K50" s="13" t="inlineStr">
        <is>
          <t>62d0dff1-ef18-40ae-879c-f7dd0fc7a67e</t>
        </is>
      </c>
    </row>
    <row r="51">
      <c r="A51" s="13" t="inlineStr">
        <is>
          <t>62d0dff1</t>
        </is>
      </c>
      <c r="B51" s="13" t="inlineStr">
        <is>
          <t>2026-09-01T21:57:17.36Z</t>
        </is>
      </c>
      <c r="C51" s="13" t="inlineStr">
        <is>
          <t>completed</t>
        </is>
      </c>
      <c r="D51" s="17" t="n">
        <v>130516</v>
      </c>
      <c r="E51" s="17" t="n">
        <v>6365</v>
      </c>
      <c r="F51" s="17" t="n"/>
      <c r="G51" s="13" t="b">
        <v>0</v>
      </c>
      <c r="H51" s="13" t="n"/>
      <c r="I51" s="13" t="inlineStr">
        <is>
          <t>Claude workbook agent completed</t>
        </is>
      </c>
      <c r="J51" s="13" t="n"/>
      <c r="K51" s="13" t="inlineStr">
        <is>
          <t>62d0dff1-ef18-40ae-879c-f7dd0fc7a67e</t>
        </is>
      </c>
    </row>
    <row r="52">
      <c r="A52" s="13" t="inlineStr">
        <is>
          <t>69633abd</t>
        </is>
      </c>
      <c r="B52" s="13" t="inlineStr">
        <is>
          <t>2026-08-28T13:35:11.824Z</t>
        </is>
      </c>
      <c r="C52" s="13" t="inlineStr">
        <is>
          <t>completed</t>
        </is>
      </c>
      <c r="D52" s="17" t="n">
        <v>5383</v>
      </c>
      <c r="E52" s="17" t="n">
        <v>1</v>
      </c>
      <c r="F52" s="17" t="n"/>
      <c r="G52" s="13" t="b">
        <v>1</v>
      </c>
      <c r="H52" s="13" t="n"/>
      <c r="I52" s="13" t="inlineStr">
        <is>
          <t>Claude workbook agent completed</t>
        </is>
      </c>
      <c r="J52" s="13" t="n"/>
      <c r="K52" s="13" t="inlineStr">
        <is>
          <t>69633abd-f051-404b-81ac-eff6a9593427</t>
        </is>
      </c>
    </row>
    <row r="53">
      <c r="A53" s="13" t="inlineStr">
        <is>
          <t>69633abd</t>
        </is>
      </c>
      <c r="B53" s="13" t="inlineStr">
        <is>
          <t>2026-08-31T12:35:21.066Z</t>
        </is>
      </c>
      <c r="C53" s="13" t="inlineStr">
        <is>
          <t>completed</t>
        </is>
      </c>
      <c r="D53" s="17" t="n">
        <v>5383</v>
      </c>
      <c r="E53" s="17" t="n">
        <v>1</v>
      </c>
      <c r="F53" s="17" t="n"/>
      <c r="G53" s="13" t="b">
        <v>1</v>
      </c>
      <c r="H53" s="13" t="n"/>
      <c r="I53" s="13" t="inlineStr">
        <is>
          <t>Claude workbook agent completed</t>
        </is>
      </c>
      <c r="J53" s="13" t="n"/>
      <c r="K53" s="13" t="inlineStr">
        <is>
          <t>69633abd-f051-404b-81ac-eff6a9593427</t>
        </is>
      </c>
    </row>
    <row r="54">
      <c r="A54" s="13" t="inlineStr">
        <is>
          <t>69633abd</t>
        </is>
      </c>
      <c r="B54" s="13" t="inlineStr">
        <is>
          <t>2026-08-31T14:22:43.125Z</t>
        </is>
      </c>
      <c r="C54" s="13" t="inlineStr">
        <is>
          <t>completed</t>
        </is>
      </c>
      <c r="D54" s="17" t="n">
        <v>1333861</v>
      </c>
      <c r="E54" s="17" t="n">
        <v>19237</v>
      </c>
      <c r="F54" s="17" t="n"/>
      <c r="G54" s="13" t="b">
        <v>0</v>
      </c>
      <c r="H54" s="13" t="n"/>
      <c r="I54" s="13" t="inlineStr">
        <is>
          <t>Claude workbook agent completed</t>
        </is>
      </c>
      <c r="J54" s="13" t="n"/>
      <c r="K54" s="13" t="inlineStr">
        <is>
          <t>69633abd-f051-404b-81ac-eff6a9593427</t>
        </is>
      </c>
    </row>
    <row r="55">
      <c r="A55" s="13" t="inlineStr">
        <is>
          <t>69633abd</t>
        </is>
      </c>
      <c r="B55" s="13" t="inlineStr">
        <is>
          <t>2026-09-01T22:55:54.486Z</t>
        </is>
      </c>
      <c r="C55" s="13" t="inlineStr">
        <is>
          <t>completed</t>
        </is>
      </c>
      <c r="D55" s="17" t="n">
        <v>284605</v>
      </c>
      <c r="E55" s="17" t="n">
        <v>9151</v>
      </c>
      <c r="F55" s="17" t="n"/>
      <c r="G55" s="13" t="b">
        <v>0</v>
      </c>
      <c r="H55" s="13" t="n"/>
      <c r="I55" s="13" t="inlineStr">
        <is>
          <t>Claude workbook agent completed</t>
        </is>
      </c>
      <c r="J55" s="13" t="n"/>
      <c r="K55" s="13" t="inlineStr">
        <is>
          <t>69633abd-f051-404b-81ac-eff6a9593427</t>
        </is>
      </c>
    </row>
    <row r="56">
      <c r="A56" s="13" t="inlineStr">
        <is>
          <t>7215fd35</t>
        </is>
      </c>
      <c r="B56" s="13" t="inlineStr">
        <is>
          <t>2026-09-01T18:22:08.151Z</t>
        </is>
      </c>
      <c r="C56" s="13" t="inlineStr">
        <is>
          <t>completed</t>
        </is>
      </c>
      <c r="D56" s="17" t="n">
        <v>5392</v>
      </c>
      <c r="E56" s="17" t="n">
        <v>1</v>
      </c>
      <c r="F56" s="17" t="n"/>
      <c r="G56" s="13" t="b">
        <v>1</v>
      </c>
      <c r="H56" s="13" t="n"/>
      <c r="I56" s="13" t="inlineStr">
        <is>
          <t>Claude workbook agent completed</t>
        </is>
      </c>
      <c r="J56" s="13" t="n"/>
      <c r="K56" s="13" t="inlineStr">
        <is>
          <t>7215fd35-f477-44af-b6f1-b38348ebe264</t>
        </is>
      </c>
    </row>
    <row r="57">
      <c r="A57" s="13" t="inlineStr">
        <is>
          <t>7215fd35</t>
        </is>
      </c>
      <c r="B57" s="13" t="inlineStr">
        <is>
          <t>2026-09-01T21:57:14.82Z</t>
        </is>
      </c>
      <c r="C57" s="13" t="inlineStr">
        <is>
          <t>completed</t>
        </is>
      </c>
      <c r="D57" s="17" t="n">
        <v>5384</v>
      </c>
      <c r="E57" s="17" t="n">
        <v>1</v>
      </c>
      <c r="F57" s="17" t="n"/>
      <c r="G57" s="13" t="b">
        <v>1</v>
      </c>
      <c r="H57" s="13" t="n"/>
      <c r="I57" s="13" t="inlineStr">
        <is>
          <t>Claude workbook agent completed</t>
        </is>
      </c>
      <c r="J57" s="13" t="n"/>
      <c r="K57" s="13" t="inlineStr">
        <is>
          <t>7215fd35-f477-44af-b6f1-b38348ebe264</t>
        </is>
      </c>
    </row>
    <row r="58">
      <c r="A58" s="13" t="inlineStr">
        <is>
          <t>79036bd8</t>
        </is>
      </c>
      <c r="B58" s="13" t="inlineStr">
        <is>
          <t>2026-08-31T21:11:19.035Z</t>
        </is>
      </c>
      <c r="C58" s="13" t="inlineStr">
        <is>
          <t>completed</t>
        </is>
      </c>
      <c r="D58" s="17" t="n">
        <v>5391</v>
      </c>
      <c r="E58" s="17" t="n">
        <v>4</v>
      </c>
      <c r="F58" s="17" t="n"/>
      <c r="G58" s="13" t="b">
        <v>1</v>
      </c>
      <c r="H58" s="13" t="n"/>
      <c r="I58" s="13" t="inlineStr">
        <is>
          <t>Claude workbook agent completed</t>
        </is>
      </c>
      <c r="J58" s="13" t="n"/>
      <c r="K58" s="13" t="inlineStr">
        <is>
          <t>79036bd8-09a6-44ef-a84d-8985ace5476e</t>
        </is>
      </c>
    </row>
    <row r="59">
      <c r="A59" s="13" t="inlineStr">
        <is>
          <t>79036bd8</t>
        </is>
      </c>
      <c r="B59" s="13" t="inlineStr">
        <is>
          <t>2026-09-01T22:55:55.026Z</t>
        </is>
      </c>
      <c r="C59" s="13" t="inlineStr">
        <is>
          <t>completed</t>
        </is>
      </c>
      <c r="D59" s="17" t="n">
        <v>172748</v>
      </c>
      <c r="E59" s="17" t="n">
        <v>7165</v>
      </c>
      <c r="F59" s="17" t="n"/>
      <c r="G59" s="13" t="b">
        <v>0</v>
      </c>
      <c r="H59" s="13" t="n"/>
      <c r="I59" s="13" t="inlineStr">
        <is>
          <t>Claude workbook agent completed</t>
        </is>
      </c>
      <c r="J59" s="13" t="n"/>
      <c r="K59" s="13" t="inlineStr">
        <is>
          <t>79036bd8-09a6-44ef-a84d-8985ace5476e</t>
        </is>
      </c>
    </row>
    <row r="60">
      <c r="A60" s="13" t="inlineStr">
        <is>
          <t>7b4c773f</t>
        </is>
      </c>
      <c r="B60" s="13" t="inlineStr">
        <is>
          <t>2026-09-01T15:06:08.42Z</t>
        </is>
      </c>
      <c r="C60" s="13" t="inlineStr">
        <is>
          <t>completed</t>
        </is>
      </c>
      <c r="D60" s="17" t="n">
        <v>5384</v>
      </c>
      <c r="E60" s="17" t="n">
        <v>7</v>
      </c>
      <c r="F60" s="17" t="n"/>
      <c r="G60" s="13" t="b">
        <v>1</v>
      </c>
      <c r="H60" s="13" t="n"/>
      <c r="I60" s="13" t="inlineStr">
        <is>
          <t>Claude workbook agent completed</t>
        </is>
      </c>
      <c r="J60" s="13" t="n"/>
      <c r="K60" s="13" t="inlineStr">
        <is>
          <t>7b4c773f-02c0-42cf-a37b-04b6773b86c0</t>
        </is>
      </c>
    </row>
    <row r="61">
      <c r="A61" s="13" t="inlineStr">
        <is>
          <t>7b4c773f</t>
        </is>
      </c>
      <c r="B61" s="13" t="inlineStr">
        <is>
          <t>2026-09-01T21:57:12.862Z</t>
        </is>
      </c>
      <c r="C61" s="13" t="inlineStr">
        <is>
          <t>completed</t>
        </is>
      </c>
      <c r="D61" s="17" t="n">
        <v>302515</v>
      </c>
      <c r="E61" s="17" t="n">
        <v>8875</v>
      </c>
      <c r="F61" s="17" t="n"/>
      <c r="G61" s="13" t="b">
        <v>0</v>
      </c>
      <c r="H61" s="13" t="n"/>
      <c r="I61" s="13" t="inlineStr">
        <is>
          <t>Claude workbook agent completed</t>
        </is>
      </c>
      <c r="J61" s="13" t="n"/>
      <c r="K61" s="13" t="inlineStr">
        <is>
          <t>7b4c773f-02c0-42cf-a37b-04b6773b86c0</t>
        </is>
      </c>
    </row>
    <row r="62">
      <c r="A62" s="13" t="inlineStr">
        <is>
          <t>87a8cf29</t>
        </is>
      </c>
      <c r="B62" s="13" t="inlineStr">
        <is>
          <t>2026-09-01T15:22:15.426Z</t>
        </is>
      </c>
      <c r="C62" s="13" t="inlineStr">
        <is>
          <t>completed</t>
        </is>
      </c>
      <c r="D62" s="17" t="n">
        <v>5379</v>
      </c>
      <c r="E62" s="17" t="n">
        <v>7</v>
      </c>
      <c r="F62" s="17" t="n"/>
      <c r="G62" s="13" t="b">
        <v>1</v>
      </c>
      <c r="H62" s="13" t="n"/>
      <c r="I62" s="13" t="inlineStr">
        <is>
          <t>Claude workbook agent completed</t>
        </is>
      </c>
      <c r="J62" s="13" t="n"/>
      <c r="K62" s="13" t="inlineStr">
        <is>
          <t>87a8cf29-f488-4921-98df-9fbb785aa0b0</t>
        </is>
      </c>
    </row>
    <row r="63">
      <c r="A63" s="13" t="inlineStr">
        <is>
          <t>87a8cf29</t>
        </is>
      </c>
      <c r="B63" s="13" t="inlineStr">
        <is>
          <t>2026-09-01T21:57:12.938Z</t>
        </is>
      </c>
      <c r="C63" s="13" t="inlineStr">
        <is>
          <t>completed</t>
        </is>
      </c>
      <c r="D63" s="17" t="n">
        <v>241183</v>
      </c>
      <c r="E63" s="17" t="n">
        <v>8920</v>
      </c>
      <c r="F63" s="17" t="n"/>
      <c r="G63" s="13" t="b">
        <v>0</v>
      </c>
      <c r="H63" s="13" t="n"/>
      <c r="I63" s="13" t="inlineStr">
        <is>
          <t>Claude workbook agent completed</t>
        </is>
      </c>
      <c r="J63" s="13" t="n"/>
      <c r="K63" s="13" t="inlineStr">
        <is>
          <t>87a8cf29-f488-4921-98df-9fbb785aa0b0</t>
        </is>
      </c>
    </row>
    <row r="64">
      <c r="A64" s="13" t="inlineStr">
        <is>
          <t>8a8066ff</t>
        </is>
      </c>
      <c r="B64" s="13" t="inlineStr">
        <is>
          <t>2026-09-01T18:27:08.595Z</t>
        </is>
      </c>
      <c r="C64" s="13" t="inlineStr">
        <is>
          <t>completed</t>
        </is>
      </c>
      <c r="D64" s="17" t="n">
        <v>5390</v>
      </c>
      <c r="E64" s="17" t="n">
        <v>1</v>
      </c>
      <c r="F64" s="17" t="n"/>
      <c r="G64" s="13" t="b">
        <v>1</v>
      </c>
      <c r="H64" s="13" t="n"/>
      <c r="I64" s="13" t="inlineStr">
        <is>
          <t>Claude workbook agent completed</t>
        </is>
      </c>
      <c r="J64" s="13" t="n"/>
      <c r="K64" s="13" t="inlineStr">
        <is>
          <t>8a8066ff-7624-4fc5-981f-52a666b28967</t>
        </is>
      </c>
    </row>
    <row r="65">
      <c r="A65" s="13" t="inlineStr">
        <is>
          <t>8a8066ff</t>
        </is>
      </c>
      <c r="B65" s="13" t="inlineStr">
        <is>
          <t>2026-09-01T21:57:14.54Z</t>
        </is>
      </c>
      <c r="C65" s="13" t="inlineStr">
        <is>
          <t>completed</t>
        </is>
      </c>
      <c r="D65" s="17" t="n">
        <v>5390</v>
      </c>
      <c r="E65" s="17" t="n">
        <v>5</v>
      </c>
      <c r="F65" s="17" t="n"/>
      <c r="G65" s="13" t="b">
        <v>1</v>
      </c>
      <c r="H65" s="13" t="n"/>
      <c r="I65" s="13" t="inlineStr">
        <is>
          <t>Claude workbook agent completed</t>
        </is>
      </c>
      <c r="J65" s="13" t="n"/>
      <c r="K65" s="13" t="inlineStr">
        <is>
          <t>8a8066ff-7624-4fc5-981f-52a666b28967</t>
        </is>
      </c>
    </row>
    <row r="66">
      <c r="A66" s="13" t="inlineStr">
        <is>
          <t>8c19520c</t>
        </is>
      </c>
      <c r="B66" s="13" t="inlineStr">
        <is>
          <t>2026-08-31T17:25:46.539Z</t>
        </is>
      </c>
      <c r="C66" s="13" t="inlineStr">
        <is>
          <t>completed</t>
        </is>
      </c>
      <c r="D66" s="17" t="n">
        <v>5390</v>
      </c>
      <c r="E66" s="17" t="n">
        <v>1</v>
      </c>
      <c r="F66" s="17" t="n"/>
      <c r="G66" s="13" t="b">
        <v>1</v>
      </c>
      <c r="H66" s="13" t="n"/>
      <c r="I66" s="13" t="inlineStr">
        <is>
          <t>Claude workbook agent completed</t>
        </is>
      </c>
      <c r="J66" s="13" t="n"/>
      <c r="K66" s="13" t="inlineStr">
        <is>
          <t>8c19520c-b2d2-449b-a1f8-b426e81df053</t>
        </is>
      </c>
    </row>
    <row r="67">
      <c r="A67" s="13" t="inlineStr">
        <is>
          <t>8c19520c</t>
        </is>
      </c>
      <c r="B67" s="13" t="inlineStr">
        <is>
          <t>2026-09-01T21:57:18.706Z</t>
        </is>
      </c>
      <c r="C67" s="13" t="inlineStr">
        <is>
          <t>completed</t>
        </is>
      </c>
      <c r="D67" s="17" t="n">
        <v>523608</v>
      </c>
      <c r="E67" s="17" t="n">
        <v>11560</v>
      </c>
      <c r="F67" s="17" t="n"/>
      <c r="G67" s="13" t="b">
        <v>0</v>
      </c>
      <c r="H67" s="13" t="n"/>
      <c r="I67" s="13" t="inlineStr">
        <is>
          <t>Claude workbook agent completed</t>
        </is>
      </c>
      <c r="J67" s="13" t="n"/>
      <c r="K67" s="13" t="inlineStr">
        <is>
          <t>8c19520c-b2d2-449b-a1f8-b426e81df053</t>
        </is>
      </c>
    </row>
    <row r="68">
      <c r="A68" s="13" t="inlineStr">
        <is>
          <t>8f99bcd7</t>
        </is>
      </c>
      <c r="B68" s="13" t="inlineStr">
        <is>
          <t>2026-09-01T23:19:41.133Z</t>
        </is>
      </c>
      <c r="C68" s="13" t="inlineStr">
        <is>
          <t>completed</t>
        </is>
      </c>
      <c r="D68" s="17" t="n">
        <v>152153</v>
      </c>
      <c r="E68" s="17" t="n">
        <v>5778</v>
      </c>
      <c r="F68" s="17" t="n"/>
      <c r="G68" s="13" t="b">
        <v>0</v>
      </c>
      <c r="H68" s="13" t="n"/>
      <c r="I68" s="13" t="inlineStr">
        <is>
          <t>Claude workbook agent completed</t>
        </is>
      </c>
      <c r="J68" s="13" t="n"/>
      <c r="K68" s="13" t="inlineStr">
        <is>
          <t>8f99bcd7-fca6-4752-bf71-04ad795bf50d</t>
        </is>
      </c>
    </row>
    <row r="69">
      <c r="A69" s="13" t="inlineStr">
        <is>
          <t>906892cf</t>
        </is>
      </c>
      <c r="B69" s="13" t="inlineStr">
        <is>
          <t>2026-09-01T10:24:10.977Z</t>
        </is>
      </c>
      <c r="C69" s="13" t="inlineStr">
        <is>
          <t>completed</t>
        </is>
      </c>
      <c r="D69" s="17" t="n">
        <v>5385</v>
      </c>
      <c r="E69" s="17" t="n">
        <v>1</v>
      </c>
      <c r="F69" s="17" t="n"/>
      <c r="G69" s="13" t="b">
        <v>1</v>
      </c>
      <c r="H69" s="13" t="n"/>
      <c r="I69" s="13" t="inlineStr">
        <is>
          <t>Claude workbook agent completed</t>
        </is>
      </c>
      <c r="J69" s="13" t="n"/>
      <c r="K69" s="13" t="inlineStr">
        <is>
          <t>906892cf-1049-4c2d-99ef-404e461c776f</t>
        </is>
      </c>
    </row>
    <row r="70">
      <c r="A70" s="13" t="inlineStr">
        <is>
          <t>906892cf</t>
        </is>
      </c>
      <c r="B70" s="13" t="inlineStr">
        <is>
          <t>2026-09-01T21:57:11.447Z</t>
        </is>
      </c>
      <c r="C70" s="13" t="inlineStr">
        <is>
          <t>completed</t>
        </is>
      </c>
      <c r="D70" s="17" t="n">
        <v>5386</v>
      </c>
      <c r="E70" s="17" t="n">
        <v>4</v>
      </c>
      <c r="F70" s="17" t="n"/>
      <c r="G70" s="13" t="b">
        <v>1</v>
      </c>
      <c r="H70" s="13" t="n"/>
      <c r="I70" s="13" t="inlineStr">
        <is>
          <t>Claude workbook agent completed</t>
        </is>
      </c>
      <c r="J70" s="13" t="n"/>
      <c r="K70" s="13" t="inlineStr">
        <is>
          <t>906892cf-1049-4c2d-99ef-404e461c776f</t>
        </is>
      </c>
    </row>
    <row r="71">
      <c r="A71" s="13" t="inlineStr">
        <is>
          <t>92b20cff</t>
        </is>
      </c>
      <c r="B71" s="13" t="inlineStr">
        <is>
          <t>2026-09-01T06:07:10.352Z</t>
        </is>
      </c>
      <c r="C71" s="13" t="inlineStr">
        <is>
          <t>completed</t>
        </is>
      </c>
      <c r="D71" s="17" t="n">
        <v>5387</v>
      </c>
      <c r="E71" s="17" t="n">
        <v>4</v>
      </c>
      <c r="F71" s="17" t="n"/>
      <c r="G71" s="13" t="b">
        <v>1</v>
      </c>
      <c r="H71" s="13" t="n"/>
      <c r="I71" s="13" t="inlineStr">
        <is>
          <t>Claude workbook agent completed</t>
        </is>
      </c>
      <c r="J71" s="13" t="n"/>
      <c r="K71" s="13" t="inlineStr">
        <is>
          <t>92b20cff-2188-474c-b966-e33ada1437ee</t>
        </is>
      </c>
    </row>
    <row r="72">
      <c r="A72" s="13" t="inlineStr">
        <is>
          <t>92b20cff</t>
        </is>
      </c>
      <c r="B72" s="13" t="inlineStr">
        <is>
          <t>2026-09-01T21:57:12.46Z</t>
        </is>
      </c>
      <c r="C72" s="13" t="inlineStr">
        <is>
          <t>completed</t>
        </is>
      </c>
      <c r="D72" s="17" t="n">
        <v>488250</v>
      </c>
      <c r="E72" s="17" t="n">
        <v>11776</v>
      </c>
      <c r="F72" s="17" t="n"/>
      <c r="G72" s="13" t="b">
        <v>0</v>
      </c>
      <c r="H72" s="13" t="n"/>
      <c r="I72" s="13" t="inlineStr">
        <is>
          <t>Claude workbook agent completed</t>
        </is>
      </c>
      <c r="J72" s="13" t="n"/>
      <c r="K72" s="13" t="inlineStr">
        <is>
          <t>92b20cff-2188-474c-b966-e33ada1437ee</t>
        </is>
      </c>
    </row>
    <row r="73">
      <c r="A73" s="13" t="inlineStr">
        <is>
          <t>95606585</t>
        </is>
      </c>
      <c r="B73" s="13" t="inlineStr">
        <is>
          <t>2026-09-01T15:10:36.3Z</t>
        </is>
      </c>
      <c r="C73" s="13" t="inlineStr">
        <is>
          <t>completed</t>
        </is>
      </c>
      <c r="D73" s="17" t="n">
        <v>5388</v>
      </c>
      <c r="E73" s="17" t="n">
        <v>4</v>
      </c>
      <c r="F73" s="17" t="n"/>
      <c r="G73" s="13" t="b">
        <v>1</v>
      </c>
      <c r="H73" s="13" t="n"/>
      <c r="I73" s="13" t="inlineStr">
        <is>
          <t>Claude workbook agent completed</t>
        </is>
      </c>
      <c r="J73" s="13" t="n"/>
      <c r="K73" s="13" t="inlineStr">
        <is>
          <t>95606585-8665-475b-ac9c-eb5fae04a8f6</t>
        </is>
      </c>
    </row>
    <row r="74">
      <c r="A74" s="13" t="inlineStr">
        <is>
          <t>95606585</t>
        </is>
      </c>
      <c r="B74" s="13" t="inlineStr">
        <is>
          <t>2026-09-01T22:55:54.947Z</t>
        </is>
      </c>
      <c r="C74" s="13" t="inlineStr">
        <is>
          <t>completed</t>
        </is>
      </c>
      <c r="D74" s="17" t="n">
        <v>395365</v>
      </c>
      <c r="E74" s="17" t="n">
        <v>10629</v>
      </c>
      <c r="F74" s="17" t="n"/>
      <c r="G74" s="13" t="b">
        <v>0</v>
      </c>
      <c r="H74" s="13" t="n"/>
      <c r="I74" s="13" t="inlineStr">
        <is>
          <t>Claude workbook agent completed</t>
        </is>
      </c>
      <c r="J74" s="13" t="n"/>
      <c r="K74" s="13" t="inlineStr">
        <is>
          <t>95606585-8665-475b-ac9c-eb5fae04a8f6</t>
        </is>
      </c>
    </row>
    <row r="75">
      <c r="A75" s="13" t="inlineStr">
        <is>
          <t>a0b42bc7</t>
        </is>
      </c>
      <c r="B75" s="13" t="inlineStr">
        <is>
          <t>2026-09-01T22:42:09.739Z</t>
        </is>
      </c>
      <c r="C75" s="13" t="inlineStr">
        <is>
          <t>completed</t>
        </is>
      </c>
      <c r="D75" s="17" t="n">
        <v>1245622</v>
      </c>
      <c r="E75" s="17" t="n">
        <v>10184</v>
      </c>
      <c r="F75" s="17" t="n"/>
      <c r="G75" s="13" t="b">
        <v>0</v>
      </c>
      <c r="H75" s="13" t="n"/>
      <c r="I75" s="13" t="inlineStr">
        <is>
          <t>Claude workbook agent completed</t>
        </is>
      </c>
      <c r="J75" s="13" t="n"/>
      <c r="K75" s="13" t="inlineStr">
        <is>
          <t>a0b42bc7-af28-40a5-80c2-7a103169a005</t>
        </is>
      </c>
    </row>
    <row r="76">
      <c r="A76" s="13" t="inlineStr">
        <is>
          <t>a5f013b8</t>
        </is>
      </c>
      <c r="B76" s="13" t="inlineStr">
        <is>
          <t>2026-09-01T16:11:53.974Z</t>
        </is>
      </c>
      <c r="C76" s="13" t="inlineStr">
        <is>
          <t>completed</t>
        </is>
      </c>
      <c r="D76" s="17" t="n">
        <v>5375</v>
      </c>
      <c r="E76" s="17" t="n">
        <v>7</v>
      </c>
      <c r="F76" s="17" t="n"/>
      <c r="G76" s="13" t="b">
        <v>1</v>
      </c>
      <c r="H76" s="13" t="n"/>
      <c r="I76" s="13" t="inlineStr">
        <is>
          <t>Claude workbook agent completed</t>
        </is>
      </c>
      <c r="J76" s="13" t="n"/>
      <c r="K76" s="13" t="inlineStr">
        <is>
          <t>a5f013b8-ef14-4437-bea0-630504093c40</t>
        </is>
      </c>
    </row>
    <row r="77">
      <c r="A77" s="13" t="inlineStr">
        <is>
          <t>a5f013b8</t>
        </is>
      </c>
      <c r="B77" s="13" t="inlineStr">
        <is>
          <t>2026-09-01T21:57:13.982Z</t>
        </is>
      </c>
      <c r="C77" s="13" t="inlineStr">
        <is>
          <t>completed</t>
        </is>
      </c>
      <c r="D77" s="17" t="n">
        <v>1689428</v>
      </c>
      <c r="E77" s="17" t="n">
        <v>19764</v>
      </c>
      <c r="F77" s="17" t="n"/>
      <c r="G77" s="13" t="b">
        <v>0</v>
      </c>
      <c r="H77" s="13" t="n"/>
      <c r="I77" s="13" t="inlineStr">
        <is>
          <t>Claude workbook agent completed</t>
        </is>
      </c>
      <c r="J77" s="13" t="n"/>
      <c r="K77" s="13" t="inlineStr">
        <is>
          <t>a5f013b8-ef14-4437-bea0-630504093c40</t>
        </is>
      </c>
    </row>
    <row r="78">
      <c r="A78" s="13" t="inlineStr">
        <is>
          <t>c4ba7c97</t>
        </is>
      </c>
      <c r="B78" s="13" t="inlineStr">
        <is>
          <t>2026-08-31T17:19:53.19Z</t>
        </is>
      </c>
      <c r="C78" s="13" t="inlineStr">
        <is>
          <t>completed</t>
        </is>
      </c>
      <c r="D78" s="17" t="n">
        <v>5384</v>
      </c>
      <c r="E78" s="17" t="n">
        <v>4</v>
      </c>
      <c r="F78" s="17" t="n"/>
      <c r="G78" s="13" t="b">
        <v>1</v>
      </c>
      <c r="H78" s="13" t="n"/>
      <c r="I78" s="13" t="inlineStr">
        <is>
          <t>Claude workbook agent completed</t>
        </is>
      </c>
      <c r="J78" s="13" t="n"/>
      <c r="K78" s="13" t="inlineStr">
        <is>
          <t>c4ba7c97-5f2e-4e3e-8f63-3d68539868bc</t>
        </is>
      </c>
    </row>
    <row r="79">
      <c r="A79" s="13" t="inlineStr">
        <is>
          <t>c4ba7c97</t>
        </is>
      </c>
      <c r="B79" s="13" t="inlineStr">
        <is>
          <t>2026-09-01T21:57:18.663Z</t>
        </is>
      </c>
      <c r="C79" s="13" t="inlineStr">
        <is>
          <t>completed</t>
        </is>
      </c>
      <c r="D79" s="17" t="n">
        <v>186191</v>
      </c>
      <c r="E79" s="17" t="n">
        <v>7049</v>
      </c>
      <c r="F79" s="17" t="n"/>
      <c r="G79" s="13" t="b">
        <v>0</v>
      </c>
      <c r="H79" s="13" t="n"/>
      <c r="I79" s="13" t="inlineStr">
        <is>
          <t>Claude workbook agent completed</t>
        </is>
      </c>
      <c r="J79" s="13" t="n"/>
      <c r="K79" s="13" t="inlineStr">
        <is>
          <t>c4ba7c97-5f2e-4e3e-8f63-3d68539868bc</t>
        </is>
      </c>
    </row>
    <row r="80">
      <c r="A80" s="13" t="inlineStr">
        <is>
          <t>c4ed90cb</t>
        </is>
      </c>
      <c r="B80" s="13" t="inlineStr">
        <is>
          <t>2026-09-01T15:13:46.769Z</t>
        </is>
      </c>
      <c r="C80" s="13" t="inlineStr">
        <is>
          <t>completed</t>
        </is>
      </c>
      <c r="D80" s="17" t="n">
        <v>5379</v>
      </c>
      <c r="E80" s="17" t="n">
        <v>7</v>
      </c>
      <c r="F80" s="17" t="n"/>
      <c r="G80" s="13" t="b">
        <v>1</v>
      </c>
      <c r="H80" s="13" t="n"/>
      <c r="I80" s="13" t="inlineStr">
        <is>
          <t>Claude workbook agent completed</t>
        </is>
      </c>
      <c r="J80" s="13" t="n"/>
      <c r="K80" s="13" t="inlineStr">
        <is>
          <t>c4ed90cb-4e82-408b-82fa-f52a782f72d3</t>
        </is>
      </c>
    </row>
    <row r="81">
      <c r="A81" s="13" t="inlineStr">
        <is>
          <t>c4ed90cb</t>
        </is>
      </c>
      <c r="B81" s="13" t="inlineStr">
        <is>
          <t>2026-09-01T22:55:54.586Z</t>
        </is>
      </c>
      <c r="C81" s="13" t="inlineStr">
        <is>
          <t>completed</t>
        </is>
      </c>
      <c r="D81" s="17" t="n">
        <v>488468</v>
      </c>
      <c r="E81" s="17" t="n">
        <v>11266</v>
      </c>
      <c r="F81" s="17" t="n"/>
      <c r="G81" s="13" t="b">
        <v>0</v>
      </c>
      <c r="H81" s="13" t="n"/>
      <c r="I81" s="13" t="inlineStr">
        <is>
          <t>Claude workbook agent completed</t>
        </is>
      </c>
      <c r="J81" s="13" t="n"/>
      <c r="K81" s="13" t="inlineStr">
        <is>
          <t>c4ed90cb-4e82-408b-82fa-f52a782f72d3</t>
        </is>
      </c>
    </row>
    <row r="82">
      <c r="A82" s="13" t="inlineStr">
        <is>
          <t>c4ed90cb</t>
        </is>
      </c>
      <c r="B82" s="13" t="inlineStr">
        <is>
          <t>2026-09-02T00:02:25.027Z</t>
        </is>
      </c>
      <c r="C82" s="13" t="inlineStr">
        <is>
          <t>completed</t>
        </is>
      </c>
      <c r="D82" s="17" t="n">
        <v>177709</v>
      </c>
      <c r="E82" s="17" t="n">
        <v>7916</v>
      </c>
      <c r="F82" s="17" t="n"/>
      <c r="G82" s="13" t="b">
        <v>0</v>
      </c>
      <c r="H82" s="13" t="n"/>
      <c r="I82" s="13" t="inlineStr">
        <is>
          <t>Claude workbook agent completed</t>
        </is>
      </c>
      <c r="J82" s="13" t="n"/>
      <c r="K82" s="13" t="inlineStr">
        <is>
          <t>c4ed90cb-4e82-408b-82fa-f52a782f72d3</t>
        </is>
      </c>
    </row>
    <row r="83">
      <c r="A83" s="13" t="inlineStr">
        <is>
          <t>cfb56338</t>
        </is>
      </c>
      <c r="B83" s="13" t="inlineStr">
        <is>
          <t>2026-09-01T20:34:24.25Z</t>
        </is>
      </c>
      <c r="C83" s="13" t="inlineStr">
        <is>
          <t>completed</t>
        </is>
      </c>
      <c r="D83" s="17" t="n">
        <v>5394</v>
      </c>
      <c r="E83" s="17" t="n">
        <v>4</v>
      </c>
      <c r="F83" s="17" t="n"/>
      <c r="G83" s="13" t="b">
        <v>1</v>
      </c>
      <c r="H83" s="13" t="n"/>
      <c r="I83" s="13" t="inlineStr">
        <is>
          <t>Claude workbook agent completed</t>
        </is>
      </c>
      <c r="J83" s="13" t="n"/>
      <c r="K83" s="13" t="inlineStr">
        <is>
          <t>cfb56338-4a27-42d5-9e0d-9e59b2fa8640</t>
        </is>
      </c>
    </row>
    <row r="84">
      <c r="A84" s="13" t="inlineStr">
        <is>
          <t>cfb56338</t>
        </is>
      </c>
      <c r="B84" s="13" t="inlineStr">
        <is>
          <t>2026-09-01T21:57:15.539Z</t>
        </is>
      </c>
      <c r="C84" s="13" t="inlineStr">
        <is>
          <t>completed</t>
        </is>
      </c>
      <c r="D84" s="17" t="n">
        <v>468970</v>
      </c>
      <c r="E84" s="17" t="n">
        <v>11380</v>
      </c>
      <c r="F84" s="17" t="n"/>
      <c r="G84" s="13" t="b">
        <v>0</v>
      </c>
      <c r="H84" s="13" t="n"/>
      <c r="I84" s="13" t="inlineStr">
        <is>
          <t>Claude workbook agent completed</t>
        </is>
      </c>
      <c r="J84" s="13" t="n"/>
      <c r="K84" s="13" t="inlineStr">
        <is>
          <t>cfb56338-4a27-42d5-9e0d-9e59b2fa8640</t>
        </is>
      </c>
    </row>
    <row r="85">
      <c r="A85" s="13" t="inlineStr">
        <is>
          <t>d010dfa4</t>
        </is>
      </c>
      <c r="B85" s="13" t="inlineStr">
        <is>
          <t>2026-09-01T20:29:12.841Z</t>
        </is>
      </c>
      <c r="C85" s="13" t="inlineStr">
        <is>
          <t>completed</t>
        </is>
      </c>
      <c r="D85" s="17" t="n">
        <v>5388</v>
      </c>
      <c r="E85" s="17" t="n">
        <v>1</v>
      </c>
      <c r="F85" s="17" t="n"/>
      <c r="G85" s="13" t="b">
        <v>1</v>
      </c>
      <c r="H85" s="13" t="n"/>
      <c r="I85" s="13" t="inlineStr">
        <is>
          <t>Claude workbook agent completed</t>
        </is>
      </c>
      <c r="J85" s="13" t="n"/>
      <c r="K85" s="13" t="inlineStr">
        <is>
          <t>d010dfa4-e4d0-42a5-a7f6-a3ef1e58e0e9</t>
        </is>
      </c>
    </row>
    <row r="86">
      <c r="A86" s="13" t="inlineStr">
        <is>
          <t>d010dfa4</t>
        </is>
      </c>
      <c r="B86" s="13" t="inlineStr">
        <is>
          <t>2026-09-01T21:57:14.4Z</t>
        </is>
      </c>
      <c r="C86" s="13" t="inlineStr">
        <is>
          <t>completed</t>
        </is>
      </c>
      <c r="D86" s="17" t="n">
        <v>547503</v>
      </c>
      <c r="E86" s="17" t="n">
        <v>11701</v>
      </c>
      <c r="F86" s="17" t="n"/>
      <c r="G86" s="13" t="b">
        <v>0</v>
      </c>
      <c r="H86" s="13" t="n"/>
      <c r="I86" s="13" t="inlineStr">
        <is>
          <t>Claude workbook agent completed</t>
        </is>
      </c>
      <c r="J86" s="13" t="n"/>
      <c r="K86" s="13" t="inlineStr">
        <is>
          <t>d010dfa4-e4d0-42a5-a7f6-a3ef1e58e0e9</t>
        </is>
      </c>
    </row>
    <row r="87">
      <c r="A87" s="13" t="inlineStr">
        <is>
          <t>d75d1c87</t>
        </is>
      </c>
      <c r="B87" s="13" t="inlineStr">
        <is>
          <t>2026-09-01T23:14:12.904Z</t>
        </is>
      </c>
      <c r="C87" s="13" t="inlineStr">
        <is>
          <t>completed</t>
        </is>
      </c>
      <c r="D87" s="17" t="n">
        <v>992393</v>
      </c>
      <c r="E87" s="17" t="n">
        <v>18689</v>
      </c>
      <c r="F87" s="17" t="n"/>
      <c r="G87" s="13" t="b">
        <v>0</v>
      </c>
      <c r="H87" s="13" t="n"/>
      <c r="I87" s="13" t="inlineStr">
        <is>
          <t>Claude workbook agent completed</t>
        </is>
      </c>
      <c r="J87" s="13" t="n"/>
      <c r="K87" s="13" t="inlineStr">
        <is>
          <t>d75d1c87-cc80-461b-a894-47ea156cad3f</t>
        </is>
      </c>
    </row>
    <row r="88">
      <c r="A88" s="13" t="inlineStr">
        <is>
          <t>e8ad8af9</t>
        </is>
      </c>
      <c r="B88" s="13" t="inlineStr">
        <is>
          <t>2026-08-31T15:24:16.223Z</t>
        </is>
      </c>
      <c r="C88" s="13" t="inlineStr">
        <is>
          <t>completed</t>
        </is>
      </c>
      <c r="D88" s="17" t="n">
        <v>5384</v>
      </c>
      <c r="E88" s="17" t="n">
        <v>4</v>
      </c>
      <c r="F88" s="17" t="n"/>
      <c r="G88" s="13" t="b">
        <v>1</v>
      </c>
      <c r="H88" s="13" t="n"/>
      <c r="I88" s="13" t="inlineStr">
        <is>
          <t>Claude workbook agent completed</t>
        </is>
      </c>
      <c r="J88" s="13" t="n"/>
      <c r="K88" s="13" t="inlineStr">
        <is>
          <t>e8ad8af9-0dc2-4a47-915d-69799551aad9</t>
        </is>
      </c>
    </row>
    <row r="89">
      <c r="A89" s="13" t="inlineStr">
        <is>
          <t>e8ad8af9</t>
        </is>
      </c>
      <c r="B89" s="13" t="inlineStr">
        <is>
          <t>2026-09-01T21:57:17.832Z</t>
        </is>
      </c>
      <c r="C89" s="13" t="inlineStr">
        <is>
          <t>completed</t>
        </is>
      </c>
      <c r="D89" s="17" t="n">
        <v>661231</v>
      </c>
      <c r="E89" s="17" t="n">
        <v>6654</v>
      </c>
      <c r="F89" s="17" t="n"/>
      <c r="G89" s="13" t="b">
        <v>0</v>
      </c>
      <c r="H89" s="13" t="n"/>
      <c r="I89" s="13" t="inlineStr">
        <is>
          <t>Claude workbook agent completed</t>
        </is>
      </c>
      <c r="J89" s="13" t="n"/>
      <c r="K89" s="13" t="inlineStr">
        <is>
          <t>e8ad8af9-0dc2-4a47-915d-69799551aad9</t>
        </is>
      </c>
    </row>
    <row r="90">
      <c r="A90" s="13" t="inlineStr">
        <is>
          <t>f09e7718</t>
        </is>
      </c>
      <c r="B90" s="13" t="inlineStr">
        <is>
          <t>2026-09-01T23:18:14.62Z</t>
        </is>
      </c>
      <c r="C90" s="13" t="inlineStr">
        <is>
          <t>completed</t>
        </is>
      </c>
      <c r="D90" s="17" t="n">
        <v>142290</v>
      </c>
      <c r="E90" s="17" t="n">
        <v>6764</v>
      </c>
      <c r="F90" s="17" t="n"/>
      <c r="G90" s="13" t="b">
        <v>0</v>
      </c>
      <c r="H90" s="13" t="n"/>
      <c r="I90" s="13" t="inlineStr">
        <is>
          <t>Claude workbook agent completed</t>
        </is>
      </c>
      <c r="J90" s="13" t="n"/>
      <c r="K90" s="13" t="inlineStr">
        <is>
          <t>f09e7718-c4bf-4bb1-964a-5a914acc6ee4</t>
        </is>
      </c>
    </row>
    <row r="91">
      <c r="A91" s="13" t="inlineStr">
        <is>
          <t>f3efbb17</t>
        </is>
      </c>
      <c r="B91" s="13" t="inlineStr">
        <is>
          <t>2026-09-01T23:56:24.72Z</t>
        </is>
      </c>
      <c r="C91" s="13" t="inlineStr">
        <is>
          <t>completed</t>
        </is>
      </c>
      <c r="D91" s="17" t="n">
        <v>144623</v>
      </c>
      <c r="E91" s="17" t="n">
        <v>8132</v>
      </c>
      <c r="F91" s="17" t="n"/>
      <c r="G91" s="13" t="b">
        <v>0</v>
      </c>
      <c r="H91" s="13" t="n"/>
      <c r="I91" s="13" t="inlineStr">
        <is>
          <t>Claude workbook agent completed</t>
        </is>
      </c>
      <c r="J91" s="13" t="n"/>
      <c r="K91" s="13" t="inlineStr">
        <is>
          <t>f3efbb17-561b-44a2-8f87-28e2abf47f9f</t>
        </is>
      </c>
    </row>
    <row r="92">
      <c r="A92" s="13" t="inlineStr">
        <is>
          <t>f776f992</t>
        </is>
      </c>
      <c r="B92" s="13" t="inlineStr">
        <is>
          <t>2026-08-31T15:23:19.406Z</t>
        </is>
      </c>
      <c r="C92" s="13" t="inlineStr">
        <is>
          <t>completed</t>
        </is>
      </c>
      <c r="D92" s="17" t="n">
        <v>5386</v>
      </c>
      <c r="E92" s="17" t="n">
        <v>7</v>
      </c>
      <c r="F92" s="17" t="n"/>
      <c r="G92" s="13" t="b">
        <v>1</v>
      </c>
      <c r="H92" s="13" t="n"/>
      <c r="I92" s="13" t="inlineStr">
        <is>
          <t>Claude workbook agent completed</t>
        </is>
      </c>
      <c r="J92" s="13" t="n"/>
      <c r="K92" s="13" t="inlineStr">
        <is>
          <t>f776f992-cd34-452b-adfe-e65148c3c247</t>
        </is>
      </c>
    </row>
    <row r="93">
      <c r="A93" s="13" t="inlineStr">
        <is>
          <t>f776f992</t>
        </is>
      </c>
      <c r="B93" s="13" t="inlineStr">
        <is>
          <t>2026-09-01T21:57:18.344Z</t>
        </is>
      </c>
      <c r="C93" s="13" t="inlineStr">
        <is>
          <t>completed</t>
        </is>
      </c>
      <c r="D93" s="17" t="n">
        <v>60334</v>
      </c>
      <c r="E93" s="17" t="n">
        <v>3964</v>
      </c>
      <c r="F93" s="17" t="n"/>
      <c r="G93" s="13" t="b">
        <v>0</v>
      </c>
      <c r="H93" s="13" t="n"/>
      <c r="I93" s="13" t="inlineStr">
        <is>
          <t>Claude workbook agent completed</t>
        </is>
      </c>
      <c r="J93" s="13" t="n"/>
      <c r="K93" s="13" t="inlineStr">
        <is>
          <t>f776f992-cd34-452b-adfe-e65148c3c247</t>
        </is>
      </c>
    </row>
    <row r="94">
      <c r="A94" s="13" t="inlineStr">
        <is>
          <t>f7e83778</t>
        </is>
      </c>
      <c r="B94" s="13" t="inlineStr">
        <is>
          <t>2026-09-01T14:58:13.888Z</t>
        </is>
      </c>
      <c r="C94" s="13" t="inlineStr">
        <is>
          <t>completed</t>
        </is>
      </c>
      <c r="D94" s="17" t="n">
        <v>5390</v>
      </c>
      <c r="E94" s="17" t="n">
        <v>1</v>
      </c>
      <c r="F94" s="17" t="n"/>
      <c r="G94" s="13" t="b">
        <v>1</v>
      </c>
      <c r="H94" s="13" t="n"/>
      <c r="I94" s="13" t="inlineStr">
        <is>
          <t>Claude workbook agent completed</t>
        </is>
      </c>
      <c r="J94" s="13" t="n"/>
      <c r="K94" s="13" t="inlineStr">
        <is>
          <t>f7e83778-a8c1-4c8a-a43a-f2c40548cdf6</t>
        </is>
      </c>
    </row>
    <row r="95">
      <c r="A95" s="13" t="inlineStr">
        <is>
          <t>f7e83778</t>
        </is>
      </c>
      <c r="B95" s="13" t="inlineStr">
        <is>
          <t>2026-09-01T21:57:11.844Z</t>
        </is>
      </c>
      <c r="C95" s="13" t="inlineStr">
        <is>
          <t>completed</t>
        </is>
      </c>
      <c r="D95" s="17" t="n">
        <v>218468</v>
      </c>
      <c r="E95" s="17" t="n">
        <v>7875</v>
      </c>
      <c r="F95" s="17" t="n"/>
      <c r="G95" s="13" t="b">
        <v>0</v>
      </c>
      <c r="H95" s="13" t="n"/>
      <c r="I95" s="13" t="inlineStr">
        <is>
          <t>Claude workbook agent completed</t>
        </is>
      </c>
      <c r="J95" s="13" t="n"/>
      <c r="K95" s="13" t="inlineStr">
        <is>
          <t>f7e83778-a8c1-4c8a-a43a-f2c40548cdf6</t>
        </is>
      </c>
    </row>
    <row r="96">
      <c r="A96" s="13" t="inlineStr">
        <is>
          <t>f925d988</t>
        </is>
      </c>
      <c r="B96" s="13" t="inlineStr">
        <is>
          <t>2026-09-01T15:32:25.654Z</t>
        </is>
      </c>
      <c r="C96" s="13" t="inlineStr">
        <is>
          <t>completed</t>
        </is>
      </c>
      <c r="D96" s="17" t="n">
        <v>893645</v>
      </c>
      <c r="E96" s="17" t="n">
        <v>13010</v>
      </c>
      <c r="F96" s="17" t="n"/>
      <c r="G96" s="13" t="b">
        <v>0</v>
      </c>
      <c r="H96" s="13" t="n"/>
      <c r="I96" s="13" t="inlineStr">
        <is>
          <t>Claude workbook agent completed</t>
        </is>
      </c>
      <c r="J96" s="13" t="n"/>
      <c r="K96" s="13" t="inlineStr">
        <is>
          <t>f925d988-87c3-4cb0-a396-b583b2949382</t>
        </is>
      </c>
    </row>
    <row r="97">
      <c r="A97" s="13" t="inlineStr">
        <is>
          <t>f925d988</t>
        </is>
      </c>
      <c r="B97" s="13" t="inlineStr">
        <is>
          <t>2026-09-01T22:55:56.043Z</t>
        </is>
      </c>
      <c r="C97" s="13" t="inlineStr">
        <is>
          <t>running</t>
        </is>
      </c>
      <c r="D97" s="17" t="n">
        <v>5386</v>
      </c>
      <c r="E97" s="17" t="n">
        <v>4</v>
      </c>
      <c r="F97" s="17" t="n"/>
      <c r="G97" s="13" t="b">
        <v>1</v>
      </c>
      <c r="H97" s="13" t="n"/>
      <c r="I97" s="13" t="inlineStr">
        <is>
          <t>Streaming Claude workbook response</t>
        </is>
      </c>
      <c r="J97" s="13" t="n"/>
      <c r="K97" s="13" t="inlineStr">
        <is>
          <t>f925d988-87c3-4cb0-a396-b583b2949382</t>
        </is>
      </c>
    </row>
    <row r="98">
      <c r="A98" s="13" t="inlineStr">
        <is>
          <t>f925d988</t>
        </is>
      </c>
      <c r="B98" s="13" t="inlineStr">
        <is>
          <t>2026-09-02T00:02:27.512Z</t>
        </is>
      </c>
      <c r="C98" s="13" t="inlineStr">
        <is>
          <t>completed</t>
        </is>
      </c>
      <c r="D98" s="17" t="n">
        <v>320505</v>
      </c>
      <c r="E98" s="17" t="n">
        <v>10551</v>
      </c>
      <c r="F98" s="17" t="n"/>
      <c r="G98" s="13" t="b">
        <v>0</v>
      </c>
      <c r="H98" s="13" t="n"/>
      <c r="I98" s="13" t="inlineStr">
        <is>
          <t>Claude workbook agent completed</t>
        </is>
      </c>
      <c r="J98" s="13" t="n"/>
      <c r="K98" s="13" t="inlineStr">
        <is>
          <t>f925d988-87c3-4cb0-a396-b583b2949382</t>
        </is>
      </c>
    </row>
    <row r="99">
      <c r="A99" s="13" t="inlineStr">
        <is>
          <t>fa5950c9</t>
        </is>
      </c>
      <c r="B99" s="13" t="inlineStr">
        <is>
          <t>2026-08-31T20:12:54.146Z</t>
        </is>
      </c>
      <c r="C99" s="13" t="inlineStr">
        <is>
          <t>completed</t>
        </is>
      </c>
      <c r="D99" s="17" t="n">
        <v>5385</v>
      </c>
      <c r="E99" s="17" t="n">
        <v>1</v>
      </c>
      <c r="F99" s="17" t="n"/>
      <c r="G99" s="13" t="b">
        <v>1</v>
      </c>
      <c r="H99" s="13" t="n"/>
      <c r="I99" s="13" t="inlineStr">
        <is>
          <t>Claude workbook agent completed</t>
        </is>
      </c>
      <c r="J99" s="13" t="n"/>
      <c r="K99" s="13" t="inlineStr">
        <is>
          <t>fa5950c9-4c71-4406-83bf-8fd81fc6ff67</t>
        </is>
      </c>
    </row>
    <row r="100">
      <c r="A100" s="13" t="inlineStr">
        <is>
          <t>fa5950c9</t>
        </is>
      </c>
      <c r="B100" s="13" t="inlineStr">
        <is>
          <t>2026-09-01T22:55:55.421Z</t>
        </is>
      </c>
      <c r="C100" s="13" t="inlineStr">
        <is>
          <t>completed</t>
        </is>
      </c>
      <c r="D100" s="17" t="n">
        <v>314331</v>
      </c>
      <c r="E100" s="17" t="n">
        <v>8762</v>
      </c>
      <c r="F100" s="17" t="n"/>
      <c r="G100" s="13" t="b">
        <v>0</v>
      </c>
      <c r="H100" s="13" t="n"/>
      <c r="I100" s="13" t="inlineStr">
        <is>
          <t>Claude workbook agent completed</t>
        </is>
      </c>
      <c r="J100" s="13" t="n"/>
      <c r="K100" s="13" t="inlineStr">
        <is>
          <t>fa5950c9-4c71-4406-83bf-8fd81fc6ff67</t>
        </is>
      </c>
    </row>
    <row r="101">
      <c r="A101" s="13" t="inlineStr">
        <is>
          <t>fdfd6024</t>
        </is>
      </c>
      <c r="B101" s="13" t="inlineStr">
        <is>
          <t>2026-09-01T23:19:02.062Z</t>
        </is>
      </c>
      <c r="C101" s="13" t="inlineStr">
        <is>
          <t>completed</t>
        </is>
      </c>
      <c r="D101" s="17" t="n">
        <v>101233</v>
      </c>
      <c r="E101" s="17" t="n">
        <v>6225</v>
      </c>
      <c r="F101" s="17" t="n"/>
      <c r="G101" s="13" t="b">
        <v>0</v>
      </c>
      <c r="H101" s="13" t="n"/>
      <c r="I101" s="13" t="inlineStr">
        <is>
          <t>Claude workbook agent completed</t>
        </is>
      </c>
      <c r="J101" s="13" t="n"/>
      <c r="K101" s="13" t="inlineStr">
        <is>
          <t>fdfd6024-51d6-49c8-93c8-39d033b1bd8d</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4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26" customWidth="1" min="3" max="3"/>
    <col width="26" customWidth="1" min="4" max="4"/>
    <col width="26" customWidth="1" min="5" max="5"/>
    <col width="28" customWidth="1" min="6" max="6"/>
    <col width="38" customWidth="1" min="7" max="7"/>
  </cols>
  <sheetData>
    <row r="1">
      <c r="A1" s="9" t="inlineStr">
        <is>
          <t>Task</t>
        </is>
      </c>
      <c r="B1" s="9" t="inlineStr">
        <is>
          <t>At (UTC)</t>
        </is>
      </c>
      <c r="C1" s="9" t="inlineStr">
        <is>
          <t>From</t>
        </is>
      </c>
      <c r="D1" s="9" t="inlineStr">
        <is>
          <t>To</t>
        </is>
      </c>
      <c r="E1" s="9" t="inlineStr">
        <is>
          <t>Event</t>
        </is>
      </c>
      <c r="F1" s="9" t="inlineStr">
        <is>
          <t>Triggered by</t>
        </is>
      </c>
      <c r="G1" s="9" t="inlineStr">
        <is>
          <t>Task ID</t>
        </is>
      </c>
    </row>
    <row r="2">
      <c r="A2" s="13" t="inlineStr">
        <is>
          <t>018939a8</t>
        </is>
      </c>
      <c r="B2" s="13" t="inlineStr">
        <is>
          <t>2026-08-31T13:25:35.052Z</t>
        </is>
      </c>
      <c r="C2" s="13" t="inlineStr">
        <is>
          <t>NONE</t>
        </is>
      </c>
      <c r="D2" s="13" t="inlineStr">
        <is>
          <t>needs_decomp</t>
        </is>
      </c>
      <c r="E2" s="13" t="inlineStr">
        <is>
          <t>CLONED</t>
        </is>
      </c>
      <c r="F2" s="13" t="inlineStr">
        <is>
          <t>system@tsip.ai</t>
        </is>
      </c>
      <c r="G2" s="13" t="inlineStr">
        <is>
          <t>018939a8-5f2a-46e7-9f5b-309a20147f37</t>
        </is>
      </c>
    </row>
    <row r="3">
      <c r="A3" s="13" t="inlineStr">
        <is>
          <t>018939a8</t>
        </is>
      </c>
      <c r="B3" s="13" t="inlineStr">
        <is>
          <t>2026-08-31T13:25:45.512Z</t>
        </is>
      </c>
      <c r="C3" s="13" t="inlineStr">
        <is>
          <t>needs_decomp</t>
        </is>
      </c>
      <c r="D3" s="13" t="inlineStr">
        <is>
          <t>needs_decomp</t>
        </is>
      </c>
      <c r="E3" s="13" t="inlineStr">
        <is>
          <t>POOL_CLAIM</t>
        </is>
      </c>
      <c r="F3" s="13" t="inlineStr">
        <is>
          <t>apathy@uchicago.edu</t>
        </is>
      </c>
      <c r="G3" s="13" t="inlineStr">
        <is>
          <t>018939a8-5f2a-46e7-9f5b-309a20147f37</t>
        </is>
      </c>
    </row>
    <row r="4">
      <c r="A4" s="13" t="inlineStr">
        <is>
          <t>018939a8</t>
        </is>
      </c>
      <c r="B4" s="13" t="inlineStr">
        <is>
          <t>2026-09-01T14:30:25.317Z</t>
        </is>
      </c>
      <c r="C4" s="13" t="inlineStr">
        <is>
          <t>needs_decomp</t>
        </is>
      </c>
      <c r="D4" s="13" t="inlineStr">
        <is>
          <t>needs_decomp</t>
        </is>
      </c>
      <c r="E4" s="13" t="inlineStr">
        <is>
          <t>AUTO_POOL</t>
        </is>
      </c>
      <c r="F4" s="13" t="inlineStr">
        <is>
          <t>apathy@uchicago.edu</t>
        </is>
      </c>
      <c r="G4" s="13" t="inlineStr">
        <is>
          <t>018939a8-5f2a-46e7-9f5b-309a20147f37</t>
        </is>
      </c>
    </row>
    <row r="5">
      <c r="A5" s="13" t="inlineStr">
        <is>
          <t>018939a8</t>
        </is>
      </c>
      <c r="B5" s="13" t="inlineStr">
        <is>
          <t>2026-09-01T14:30:25.352Z</t>
        </is>
      </c>
      <c r="C5" s="13" t="inlineStr">
        <is>
          <t>needs_decomp</t>
        </is>
      </c>
      <c r="D5" s="13" t="inlineStr">
        <is>
          <t>decomp_complexity_check</t>
        </is>
      </c>
      <c r="E5" s="13" t="inlineStr">
        <is>
          <t>SUBMIT_DECOMP</t>
        </is>
      </c>
      <c r="F5" s="13" t="inlineStr">
        <is>
          <t>apathy@uchicago.edu</t>
        </is>
      </c>
      <c r="G5" s="13" t="inlineStr">
        <is>
          <t>018939a8-5f2a-46e7-9f5b-309a20147f37</t>
        </is>
      </c>
    </row>
    <row r="6">
      <c r="A6" s="13" t="inlineStr">
        <is>
          <t>018939a8</t>
        </is>
      </c>
      <c r="B6" s="13" t="inlineStr">
        <is>
          <t>2026-09-01T14:30:31.99Z</t>
        </is>
      </c>
      <c r="C6" s="13" t="inlineStr">
        <is>
          <t>decomp_complexity_check</t>
        </is>
      </c>
      <c r="D6" s="13" t="inlineStr">
        <is>
          <t>decomp_complexity_check</t>
        </is>
      </c>
      <c r="E6" s="13" t="inlineStr">
        <is>
          <t>FIELDS_WRITE</t>
        </is>
      </c>
      <c r="F6" s="13" t="inlineStr">
        <is>
          <t>system@tsip.ai</t>
        </is>
      </c>
      <c r="G6" s="13" t="inlineStr">
        <is>
          <t>018939a8-5f2a-46e7-9f5b-309a20147f37</t>
        </is>
      </c>
    </row>
    <row r="7">
      <c r="A7" s="13" t="inlineStr">
        <is>
          <t>018939a8</t>
        </is>
      </c>
      <c r="B7" s="13" t="inlineStr">
        <is>
          <t>2026-09-01T14:30:32.844Z</t>
        </is>
      </c>
      <c r="C7" s="13" t="inlineStr">
        <is>
          <t>decomp_complexity_check</t>
        </is>
      </c>
      <c r="D7" s="13" t="inlineStr">
        <is>
          <t>generating_outline</t>
        </is>
      </c>
      <c r="E7" s="13" t="inlineStr">
        <is>
          <t>COMPLEXITY_CHECK_DONE</t>
        </is>
      </c>
      <c r="F7" s="13" t="inlineStr">
        <is>
          <t>system@tsip.ai</t>
        </is>
      </c>
      <c r="G7" s="13" t="inlineStr">
        <is>
          <t>018939a8-5f2a-46e7-9f5b-309a20147f37</t>
        </is>
      </c>
    </row>
    <row r="8">
      <c r="A8" s="13" t="inlineStr">
        <is>
          <t>018939a8</t>
        </is>
      </c>
      <c r="B8" s="13" t="inlineStr">
        <is>
          <t>2026-09-01T14:31:39.54Z</t>
        </is>
      </c>
      <c r="C8" s="13" t="inlineStr">
        <is>
          <t>generating_outline</t>
        </is>
      </c>
      <c r="D8" s="13" t="inlineStr">
        <is>
          <t>generating_outline</t>
        </is>
      </c>
      <c r="E8" s="13" t="inlineStr">
        <is>
          <t>FIELDS_WRITE</t>
        </is>
      </c>
      <c r="F8" s="13" t="inlineStr">
        <is>
          <t>system@tsip.ai</t>
        </is>
      </c>
      <c r="G8" s="13" t="inlineStr">
        <is>
          <t>018939a8-5f2a-46e7-9f5b-309a20147f37</t>
        </is>
      </c>
    </row>
    <row r="9">
      <c r="A9" s="13" t="inlineStr">
        <is>
          <t>018939a8</t>
        </is>
      </c>
      <c r="B9" s="13" t="inlineStr">
        <is>
          <t>2026-09-01T14:31:40.823Z</t>
        </is>
      </c>
      <c r="C9" s="13" t="inlineStr">
        <is>
          <t>generating_outline</t>
        </is>
      </c>
      <c r="D9" s="13" t="inlineStr">
        <is>
          <t>decomp_review</t>
        </is>
      </c>
      <c r="E9" s="13" t="inlineStr">
        <is>
          <t>SUBMIT_TASK_OUTLINE</t>
        </is>
      </c>
      <c r="F9" s="13" t="inlineStr">
        <is>
          <t>system@tsip.ai</t>
        </is>
      </c>
      <c r="G9" s="13" t="inlineStr">
        <is>
          <t>018939a8-5f2a-46e7-9f5b-309a20147f37</t>
        </is>
      </c>
    </row>
    <row r="10">
      <c r="A10" s="13" t="inlineStr">
        <is>
          <t>018939a8</t>
        </is>
      </c>
      <c r="B10" s="13" t="inlineStr">
        <is>
          <t>2026-09-01T22:55:45.592Z</t>
        </is>
      </c>
      <c r="C10" s="13" t="inlineStr">
        <is>
          <t>decomp_review</t>
        </is>
      </c>
      <c r="D10" s="13" t="inlineStr">
        <is>
          <t>generating_outline</t>
        </is>
      </c>
      <c r="E10" s="13" t="inlineStr">
        <is>
          <t>ADMIN_OVERRIDE</t>
        </is>
      </c>
      <c r="F10" s="13" t="inlineStr">
        <is>
          <t>ali@meridian.ai</t>
        </is>
      </c>
      <c r="G10" s="13" t="inlineStr">
        <is>
          <t>018939a8-5f2a-46e7-9f5b-309a20147f37</t>
        </is>
      </c>
    </row>
    <row r="11">
      <c r="A11" s="13" t="inlineStr">
        <is>
          <t>018939a8</t>
        </is>
      </c>
      <c r="B11" s="13" t="inlineStr">
        <is>
          <t>2026-09-01T22:56:53.843Z</t>
        </is>
      </c>
      <c r="C11" s="13" t="inlineStr">
        <is>
          <t>generating_outline</t>
        </is>
      </c>
      <c r="D11" s="13" t="inlineStr">
        <is>
          <t>generating_outline</t>
        </is>
      </c>
      <c r="E11" s="13" t="inlineStr">
        <is>
          <t>FIELDS_WRITE</t>
        </is>
      </c>
      <c r="F11" s="13" t="inlineStr">
        <is>
          <t>system@tsip.ai</t>
        </is>
      </c>
      <c r="G11" s="13" t="inlineStr">
        <is>
          <t>018939a8-5f2a-46e7-9f5b-309a20147f37</t>
        </is>
      </c>
    </row>
    <row r="12">
      <c r="A12" s="13" t="inlineStr">
        <is>
          <t>018939a8</t>
        </is>
      </c>
      <c r="B12" s="13" t="inlineStr">
        <is>
          <t>2026-09-01T22:56:55.103Z</t>
        </is>
      </c>
      <c r="C12" s="13" t="inlineStr">
        <is>
          <t>generating_outline</t>
        </is>
      </c>
      <c r="D12" s="13" t="inlineStr">
        <is>
          <t>decomp_review</t>
        </is>
      </c>
      <c r="E12" s="13" t="inlineStr">
        <is>
          <t>SUBMIT_TASK_OUTLINE</t>
        </is>
      </c>
      <c r="F12" s="13" t="inlineStr">
        <is>
          <t>system@tsip.ai</t>
        </is>
      </c>
      <c r="G12" s="13" t="inlineStr">
        <is>
          <t>018939a8-5f2a-46e7-9f5b-309a20147f37</t>
        </is>
      </c>
    </row>
    <row r="13">
      <c r="A13" s="13" t="inlineStr">
        <is>
          <t>0e3f0394</t>
        </is>
      </c>
      <c r="B13" s="13" t="inlineStr">
        <is>
          <t>2026-09-01T15:15:53.045Z</t>
        </is>
      </c>
      <c r="C13" s="13" t="inlineStr">
        <is>
          <t>NONE</t>
        </is>
      </c>
      <c r="D13" s="13" t="inlineStr">
        <is>
          <t>needs_decomp</t>
        </is>
      </c>
      <c r="E13" s="13" t="inlineStr">
        <is>
          <t>SPAWNED</t>
        </is>
      </c>
      <c r="F13" s="13" t="inlineStr">
        <is>
          <t>system@tsip.ai</t>
        </is>
      </c>
      <c r="G13" s="13" t="inlineStr">
        <is>
          <t>0e3f0394-b3e2-4e6c-836e-704eff6c48e2</t>
        </is>
      </c>
    </row>
    <row r="14">
      <c r="A14" s="13" t="inlineStr">
        <is>
          <t>0e3f0394</t>
        </is>
      </c>
      <c r="B14" s="13" t="inlineStr">
        <is>
          <t>2026-09-01T15:17:49.236Z</t>
        </is>
      </c>
      <c r="C14" s="13" t="inlineStr">
        <is>
          <t>needs_decomp</t>
        </is>
      </c>
      <c r="D14" s="13" t="inlineStr">
        <is>
          <t>needs_decomp</t>
        </is>
      </c>
      <c r="E14" s="13" t="inlineStr">
        <is>
          <t>AUTO_POOL</t>
        </is>
      </c>
      <c r="F14" s="13" t="inlineStr">
        <is>
          <t>sophie.xiao@toptal.com</t>
        </is>
      </c>
      <c r="G14" s="13" t="inlineStr">
        <is>
          <t>0e3f0394-b3e2-4e6c-836e-704eff6c48e2</t>
        </is>
      </c>
    </row>
    <row r="15">
      <c r="A15" s="13" t="inlineStr">
        <is>
          <t>0e3f0394</t>
        </is>
      </c>
      <c r="B15" s="13" t="inlineStr">
        <is>
          <t>2026-09-01T15:17:49.292Z</t>
        </is>
      </c>
      <c r="C15" s="13" t="inlineStr">
        <is>
          <t>needs_decomp</t>
        </is>
      </c>
      <c r="D15" s="13" t="inlineStr">
        <is>
          <t>decomp_complexity_check</t>
        </is>
      </c>
      <c r="E15" s="13" t="inlineStr">
        <is>
          <t>SUBMIT_DECOMP</t>
        </is>
      </c>
      <c r="F15" s="13" t="inlineStr">
        <is>
          <t>sophie.xiao@toptal.com</t>
        </is>
      </c>
      <c r="G15" s="13" t="inlineStr">
        <is>
          <t>0e3f0394-b3e2-4e6c-836e-704eff6c48e2</t>
        </is>
      </c>
    </row>
    <row r="16">
      <c r="A16" s="13" t="inlineStr">
        <is>
          <t>0e3f0394</t>
        </is>
      </c>
      <c r="B16" s="13" t="inlineStr">
        <is>
          <t>2026-09-01T15:18:01.56Z</t>
        </is>
      </c>
      <c r="C16" s="13" t="inlineStr">
        <is>
          <t>decomp_complexity_check</t>
        </is>
      </c>
      <c r="D16" s="13" t="inlineStr">
        <is>
          <t>decomp_complexity_check</t>
        </is>
      </c>
      <c r="E16" s="13" t="inlineStr">
        <is>
          <t>FIELDS_WRITE</t>
        </is>
      </c>
      <c r="F16" s="13" t="inlineStr">
        <is>
          <t>system@tsip.ai</t>
        </is>
      </c>
      <c r="G16" s="13" t="inlineStr">
        <is>
          <t>0e3f0394-b3e2-4e6c-836e-704eff6c48e2</t>
        </is>
      </c>
    </row>
    <row r="17">
      <c r="A17" s="13" t="inlineStr">
        <is>
          <t>0e3f0394</t>
        </is>
      </c>
      <c r="B17" s="13" t="inlineStr">
        <is>
          <t>2026-09-01T15:18:02.493Z</t>
        </is>
      </c>
      <c r="C17" s="13" t="inlineStr">
        <is>
          <t>decomp_complexity_check</t>
        </is>
      </c>
      <c r="D17" s="13" t="inlineStr">
        <is>
          <t>generating_outline</t>
        </is>
      </c>
      <c r="E17" s="13" t="inlineStr">
        <is>
          <t>COMPLEXITY_CHECK_DONE</t>
        </is>
      </c>
      <c r="F17" s="13" t="inlineStr">
        <is>
          <t>system@tsip.ai</t>
        </is>
      </c>
      <c r="G17" s="13" t="inlineStr">
        <is>
          <t>0e3f0394-b3e2-4e6c-836e-704eff6c48e2</t>
        </is>
      </c>
    </row>
    <row r="18">
      <c r="A18" s="13" t="inlineStr">
        <is>
          <t>0e3f0394</t>
        </is>
      </c>
      <c r="B18" s="13" t="inlineStr">
        <is>
          <t>2026-09-01T15:19:06.911Z</t>
        </is>
      </c>
      <c r="C18" s="13" t="inlineStr">
        <is>
          <t>generating_outline</t>
        </is>
      </c>
      <c r="D18" s="13" t="inlineStr">
        <is>
          <t>decomp_review</t>
        </is>
      </c>
      <c r="E18" s="13" t="inlineStr">
        <is>
          <t>SUBMIT_TASK_OUTLINE</t>
        </is>
      </c>
      <c r="F18" s="13" t="inlineStr">
        <is>
          <t>system@tsip.ai</t>
        </is>
      </c>
      <c r="G18" s="13" t="inlineStr">
        <is>
          <t>0e3f0394-b3e2-4e6c-836e-704eff6c48e2</t>
        </is>
      </c>
    </row>
    <row r="19">
      <c r="A19" s="13" t="inlineStr">
        <is>
          <t>0e3f0394</t>
        </is>
      </c>
      <c r="B19" s="13" t="inlineStr">
        <is>
          <t>2026-09-01T21:57:05.381Z</t>
        </is>
      </c>
      <c r="C19" s="13" t="inlineStr">
        <is>
          <t>decomp_review</t>
        </is>
      </c>
      <c r="D19" s="13" t="inlineStr">
        <is>
          <t>generating_outline</t>
        </is>
      </c>
      <c r="E19" s="13" t="inlineStr">
        <is>
          <t>ADMIN_OVERRIDE</t>
        </is>
      </c>
      <c r="F19" s="13" t="inlineStr">
        <is>
          <t>ali@meridian.ai</t>
        </is>
      </c>
      <c r="G19" s="13" t="inlineStr">
        <is>
          <t>0e3f0394-b3e2-4e6c-836e-704eff6c48e2</t>
        </is>
      </c>
    </row>
    <row r="20">
      <c r="A20" s="13" t="inlineStr">
        <is>
          <t>0e3f0394</t>
        </is>
      </c>
      <c r="B20" s="13" t="inlineStr">
        <is>
          <t>2026-09-01T21:59:44.272Z</t>
        </is>
      </c>
      <c r="C20" s="13" t="inlineStr">
        <is>
          <t>generating_outline</t>
        </is>
      </c>
      <c r="D20" s="13" t="inlineStr">
        <is>
          <t>generating_outline</t>
        </is>
      </c>
      <c r="E20" s="13" t="inlineStr">
        <is>
          <t>FIELDS_WRITE</t>
        </is>
      </c>
      <c r="F20" s="13" t="inlineStr">
        <is>
          <t>system@tsip.ai</t>
        </is>
      </c>
      <c r="G20" s="13" t="inlineStr">
        <is>
          <t>0e3f0394-b3e2-4e6c-836e-704eff6c48e2</t>
        </is>
      </c>
    </row>
    <row r="21">
      <c r="A21" s="13" t="inlineStr">
        <is>
          <t>0e3f0394</t>
        </is>
      </c>
      <c r="B21" s="13" t="inlineStr">
        <is>
          <t>2026-09-01T21:59:45.69Z</t>
        </is>
      </c>
      <c r="C21" s="13" t="inlineStr">
        <is>
          <t>generating_outline</t>
        </is>
      </c>
      <c r="D21" s="13" t="inlineStr">
        <is>
          <t>decomp_review</t>
        </is>
      </c>
      <c r="E21" s="13" t="inlineStr">
        <is>
          <t>SUBMIT_TASK_OUTLINE</t>
        </is>
      </c>
      <c r="F21" s="13" t="inlineStr">
        <is>
          <t>system@tsip.ai</t>
        </is>
      </c>
      <c r="G21" s="13" t="inlineStr">
        <is>
          <t>0e3f0394-b3e2-4e6c-836e-704eff6c48e2</t>
        </is>
      </c>
    </row>
    <row r="22">
      <c r="A22" s="13" t="inlineStr">
        <is>
          <t>15a0ebf7</t>
        </is>
      </c>
      <c r="B22" s="13" t="inlineStr">
        <is>
          <t>2026-08-31T18:26:36.188Z</t>
        </is>
      </c>
      <c r="C22" s="13" t="inlineStr">
        <is>
          <t>NONE</t>
        </is>
      </c>
      <c r="D22" s="13" t="inlineStr">
        <is>
          <t>needs_decomp</t>
        </is>
      </c>
      <c r="E22" s="13" t="inlineStr">
        <is>
          <t>SPAWNED</t>
        </is>
      </c>
      <c r="F22" s="13" t="inlineStr">
        <is>
          <t>system@tsip.ai</t>
        </is>
      </c>
      <c r="G22" s="13" t="inlineStr">
        <is>
          <t>15a0ebf7-8354-4e97-bdfd-764a03bef9ee</t>
        </is>
      </c>
    </row>
    <row r="23">
      <c r="A23" s="13" t="inlineStr">
        <is>
          <t>15a0ebf7</t>
        </is>
      </c>
      <c r="B23" s="13" t="inlineStr">
        <is>
          <t>2026-08-31T18:35:18.214Z</t>
        </is>
      </c>
      <c r="C23" s="13" t="inlineStr">
        <is>
          <t>needs_decomp</t>
        </is>
      </c>
      <c r="D23" s="13" t="inlineStr">
        <is>
          <t>needs_decomp</t>
        </is>
      </c>
      <c r="E23" s="13" t="inlineStr">
        <is>
          <t>AUTO_POOL</t>
        </is>
      </c>
      <c r="F23" s="13" t="inlineStr">
        <is>
          <t>nimisha.mekala2021@gmail.com</t>
        </is>
      </c>
      <c r="G23" s="13" t="inlineStr">
        <is>
          <t>15a0ebf7-8354-4e97-bdfd-764a03bef9ee</t>
        </is>
      </c>
    </row>
    <row r="24">
      <c r="A24" s="13" t="inlineStr">
        <is>
          <t>15a0ebf7</t>
        </is>
      </c>
      <c r="B24" s="13" t="inlineStr">
        <is>
          <t>2026-08-31T18:35:18.261Z</t>
        </is>
      </c>
      <c r="C24" s="13" t="inlineStr">
        <is>
          <t>needs_decomp</t>
        </is>
      </c>
      <c r="D24" s="13" t="inlineStr">
        <is>
          <t>decomp_complexity_check</t>
        </is>
      </c>
      <c r="E24" s="13" t="inlineStr">
        <is>
          <t>SUBMIT_DECOMP</t>
        </is>
      </c>
      <c r="F24" s="13" t="inlineStr">
        <is>
          <t>nimisha.mekala2021@gmail.com</t>
        </is>
      </c>
      <c r="G24" s="13" t="inlineStr">
        <is>
          <t>15a0ebf7-8354-4e97-bdfd-764a03bef9ee</t>
        </is>
      </c>
    </row>
    <row r="25">
      <c r="A25" s="13" t="inlineStr">
        <is>
          <t>15a0ebf7</t>
        </is>
      </c>
      <c r="B25" s="13" t="inlineStr">
        <is>
          <t>2026-08-31T18:35:31.984Z</t>
        </is>
      </c>
      <c r="C25" s="13" t="inlineStr">
        <is>
          <t>decomp_complexity_check</t>
        </is>
      </c>
      <c r="D25" s="13" t="inlineStr">
        <is>
          <t>decomp_complexity_check</t>
        </is>
      </c>
      <c r="E25" s="13" t="inlineStr">
        <is>
          <t>FIELDS_WRITE</t>
        </is>
      </c>
      <c r="F25" s="13" t="inlineStr">
        <is>
          <t>system@tsip.ai</t>
        </is>
      </c>
      <c r="G25" s="13" t="inlineStr">
        <is>
          <t>15a0ebf7-8354-4e97-bdfd-764a03bef9ee</t>
        </is>
      </c>
    </row>
    <row r="26">
      <c r="A26" s="13" t="inlineStr">
        <is>
          <t>15a0ebf7</t>
        </is>
      </c>
      <c r="B26" s="13" t="inlineStr">
        <is>
          <t>2026-08-31T18:35:33.075Z</t>
        </is>
      </c>
      <c r="C26" s="13" t="inlineStr">
        <is>
          <t>decomp_complexity_check</t>
        </is>
      </c>
      <c r="D26" s="13" t="inlineStr">
        <is>
          <t>generating_outline</t>
        </is>
      </c>
      <c r="E26" s="13" t="inlineStr">
        <is>
          <t>COMPLEXITY_CHECK_DONE</t>
        </is>
      </c>
      <c r="F26" s="13" t="inlineStr">
        <is>
          <t>system@tsip.ai</t>
        </is>
      </c>
      <c r="G26" s="13" t="inlineStr">
        <is>
          <t>15a0ebf7-8354-4e97-bdfd-764a03bef9ee</t>
        </is>
      </c>
    </row>
    <row r="27">
      <c r="A27" s="13" t="inlineStr">
        <is>
          <t>15a0ebf7</t>
        </is>
      </c>
      <c r="B27" s="13" t="inlineStr">
        <is>
          <t>2026-08-31T18:37:10.541Z</t>
        </is>
      </c>
      <c r="C27" s="13" t="inlineStr">
        <is>
          <t>generating_outline</t>
        </is>
      </c>
      <c r="D27" s="13" t="inlineStr">
        <is>
          <t>decomp_review</t>
        </is>
      </c>
      <c r="E27" s="13" t="inlineStr">
        <is>
          <t>SUBMIT_TASK_OUTLINE</t>
        </is>
      </c>
      <c r="F27" s="13" t="inlineStr">
        <is>
          <t>system@tsip.ai</t>
        </is>
      </c>
      <c r="G27" s="13" t="inlineStr">
        <is>
          <t>15a0ebf7-8354-4e97-bdfd-764a03bef9ee</t>
        </is>
      </c>
    </row>
    <row r="28">
      <c r="A28" s="13" t="inlineStr">
        <is>
          <t>15a0ebf7</t>
        </is>
      </c>
      <c r="B28" s="13" t="inlineStr">
        <is>
          <t>2026-09-01T21:57:08.688Z</t>
        </is>
      </c>
      <c r="C28" s="13" t="inlineStr">
        <is>
          <t>decomp_review</t>
        </is>
      </c>
      <c r="D28" s="13" t="inlineStr">
        <is>
          <t>generating_outline</t>
        </is>
      </c>
      <c r="E28" s="13" t="inlineStr">
        <is>
          <t>ADMIN_OVERRIDE</t>
        </is>
      </c>
      <c r="F28" s="13" t="inlineStr">
        <is>
          <t>ali@meridian.ai</t>
        </is>
      </c>
      <c r="G28" s="13" t="inlineStr">
        <is>
          <t>15a0ebf7-8354-4e97-bdfd-764a03bef9ee</t>
        </is>
      </c>
    </row>
    <row r="29">
      <c r="A29" s="13" t="inlineStr">
        <is>
          <t>15a0ebf7</t>
        </is>
      </c>
      <c r="B29" s="13" t="inlineStr">
        <is>
          <t>2026-09-01T22:03:56.899Z</t>
        </is>
      </c>
      <c r="C29" s="13" t="inlineStr">
        <is>
          <t>generating_outline</t>
        </is>
      </c>
      <c r="D29" s="13" t="inlineStr">
        <is>
          <t>generating_outline</t>
        </is>
      </c>
      <c r="E29" s="13" t="inlineStr">
        <is>
          <t>FIELDS_WRITE</t>
        </is>
      </c>
      <c r="F29" s="13" t="inlineStr">
        <is>
          <t>system@tsip.ai</t>
        </is>
      </c>
      <c r="G29" s="13" t="inlineStr">
        <is>
          <t>15a0ebf7-8354-4e97-bdfd-764a03bef9ee</t>
        </is>
      </c>
    </row>
    <row r="30">
      <c r="A30" s="13" t="inlineStr">
        <is>
          <t>15a0ebf7</t>
        </is>
      </c>
      <c r="B30" s="13" t="inlineStr">
        <is>
          <t>2026-09-01T22:03:58.784Z</t>
        </is>
      </c>
      <c r="C30" s="13" t="inlineStr">
        <is>
          <t>generating_outline</t>
        </is>
      </c>
      <c r="D30" s="13" t="inlineStr">
        <is>
          <t>decomp_review</t>
        </is>
      </c>
      <c r="E30" s="13" t="inlineStr">
        <is>
          <t>SUBMIT_TASK_OUTLINE</t>
        </is>
      </c>
      <c r="F30" s="13" t="inlineStr">
        <is>
          <t>system@tsip.ai</t>
        </is>
      </c>
      <c r="G30" s="13" t="inlineStr">
        <is>
          <t>15a0ebf7-8354-4e97-bdfd-764a03bef9ee</t>
        </is>
      </c>
    </row>
    <row r="31">
      <c r="A31" s="13" t="inlineStr">
        <is>
          <t>1998a617</t>
        </is>
      </c>
      <c r="B31" s="13" t="inlineStr">
        <is>
          <t>2026-08-31T15:20:24.226Z</t>
        </is>
      </c>
      <c r="C31" s="13" t="inlineStr">
        <is>
          <t>NONE</t>
        </is>
      </c>
      <c r="D31" s="13" t="inlineStr">
        <is>
          <t>needs_decomp</t>
        </is>
      </c>
      <c r="E31" s="13" t="inlineStr">
        <is>
          <t>SPAWNED</t>
        </is>
      </c>
      <c r="F31" s="13" t="inlineStr">
        <is>
          <t>system@tsip.ai</t>
        </is>
      </c>
      <c r="G31" s="13" t="inlineStr">
        <is>
          <t>1998a617-9037-46d2-912b-adfdb4441444</t>
        </is>
      </c>
    </row>
    <row r="32">
      <c r="A32" s="13" t="inlineStr">
        <is>
          <t>1998a617</t>
        </is>
      </c>
      <c r="B32" s="13" t="inlineStr">
        <is>
          <t>2026-08-31T15:47:13.807Z</t>
        </is>
      </c>
      <c r="C32" s="13" t="inlineStr">
        <is>
          <t>needs_decomp</t>
        </is>
      </c>
      <c r="D32" s="13" t="inlineStr">
        <is>
          <t>needs_decomp</t>
        </is>
      </c>
      <c r="E32" s="13" t="inlineStr">
        <is>
          <t>AUTO_POOL</t>
        </is>
      </c>
      <c r="F32" s="13" t="inlineStr">
        <is>
          <t>nimisha.mekala2021@gmail.com</t>
        </is>
      </c>
      <c r="G32" s="13" t="inlineStr">
        <is>
          <t>1998a617-9037-46d2-912b-adfdb4441444</t>
        </is>
      </c>
    </row>
    <row r="33">
      <c r="A33" s="13" t="inlineStr">
        <is>
          <t>1998a617</t>
        </is>
      </c>
      <c r="B33" s="13" t="inlineStr">
        <is>
          <t>2026-08-31T15:47:13.842Z</t>
        </is>
      </c>
      <c r="C33" s="13" t="inlineStr">
        <is>
          <t>needs_decomp</t>
        </is>
      </c>
      <c r="D33" s="13" t="inlineStr">
        <is>
          <t>decomp_complexity_check</t>
        </is>
      </c>
      <c r="E33" s="13" t="inlineStr">
        <is>
          <t>SUBMIT_DECOMP</t>
        </is>
      </c>
      <c r="F33" s="13" t="inlineStr">
        <is>
          <t>nimisha.mekala2021@gmail.com</t>
        </is>
      </c>
      <c r="G33" s="13" t="inlineStr">
        <is>
          <t>1998a617-9037-46d2-912b-adfdb4441444</t>
        </is>
      </c>
    </row>
    <row r="34">
      <c r="A34" s="13" t="inlineStr">
        <is>
          <t>1998a617</t>
        </is>
      </c>
      <c r="B34" s="13" t="inlineStr">
        <is>
          <t>2026-08-31T15:47:25.691Z</t>
        </is>
      </c>
      <c r="C34" s="13" t="inlineStr">
        <is>
          <t>decomp_complexity_check</t>
        </is>
      </c>
      <c r="D34" s="13" t="inlineStr">
        <is>
          <t>decomp_complexity_check</t>
        </is>
      </c>
      <c r="E34" s="13" t="inlineStr">
        <is>
          <t>FIELDS_WRITE</t>
        </is>
      </c>
      <c r="F34" s="13" t="inlineStr">
        <is>
          <t>system@tsip.ai</t>
        </is>
      </c>
      <c r="G34" s="13" t="inlineStr">
        <is>
          <t>1998a617-9037-46d2-912b-adfdb4441444</t>
        </is>
      </c>
    </row>
    <row r="35">
      <c r="A35" s="13" t="inlineStr">
        <is>
          <t>1998a617</t>
        </is>
      </c>
      <c r="B35" s="13" t="inlineStr">
        <is>
          <t>2026-08-31T15:47:28.303Z</t>
        </is>
      </c>
      <c r="C35" s="13" t="inlineStr">
        <is>
          <t>decomp_complexity_check</t>
        </is>
      </c>
      <c r="D35" s="13" t="inlineStr">
        <is>
          <t>generating_outline</t>
        </is>
      </c>
      <c r="E35" s="13" t="inlineStr">
        <is>
          <t>COMPLEXITY_CHECK_DONE</t>
        </is>
      </c>
      <c r="F35" s="13" t="inlineStr">
        <is>
          <t>system@tsip.ai</t>
        </is>
      </c>
      <c r="G35" s="13" t="inlineStr">
        <is>
          <t>1998a617-9037-46d2-912b-adfdb4441444</t>
        </is>
      </c>
    </row>
    <row r="36">
      <c r="A36" s="13" t="inlineStr">
        <is>
          <t>1998a617</t>
        </is>
      </c>
      <c r="B36" s="13" t="inlineStr">
        <is>
          <t>2026-08-31T15:48:21.605Z</t>
        </is>
      </c>
      <c r="C36" s="13" t="inlineStr">
        <is>
          <t>generating_outline</t>
        </is>
      </c>
      <c r="D36" s="13" t="inlineStr">
        <is>
          <t>decomp_review</t>
        </is>
      </c>
      <c r="E36" s="13" t="inlineStr">
        <is>
          <t>SUBMIT_TASK_OUTLINE</t>
        </is>
      </c>
      <c r="F36" s="13" t="inlineStr">
        <is>
          <t>system@tsip.ai</t>
        </is>
      </c>
      <c r="G36" s="13" t="inlineStr">
        <is>
          <t>1998a617-9037-46d2-912b-adfdb4441444</t>
        </is>
      </c>
    </row>
    <row r="37">
      <c r="A37" s="13" t="inlineStr">
        <is>
          <t>1998a617</t>
        </is>
      </c>
      <c r="B37" s="13" t="inlineStr">
        <is>
          <t>2026-09-01T21:57:07.506Z</t>
        </is>
      </c>
      <c r="C37" s="13" t="inlineStr">
        <is>
          <t>decomp_review</t>
        </is>
      </c>
      <c r="D37" s="13" t="inlineStr">
        <is>
          <t>generating_outline</t>
        </is>
      </c>
      <c r="E37" s="13" t="inlineStr">
        <is>
          <t>ADMIN_OVERRIDE</t>
        </is>
      </c>
      <c r="F37" s="13" t="inlineStr">
        <is>
          <t>ali@meridian.ai</t>
        </is>
      </c>
      <c r="G37" s="13" t="inlineStr">
        <is>
          <t>1998a617-9037-46d2-912b-adfdb4441444</t>
        </is>
      </c>
    </row>
    <row r="38">
      <c r="A38" s="13" t="inlineStr">
        <is>
          <t>1998a617</t>
        </is>
      </c>
      <c r="B38" s="13" t="inlineStr">
        <is>
          <t>2026-09-01T22:01:33.523Z</t>
        </is>
      </c>
      <c r="C38" s="13" t="inlineStr">
        <is>
          <t>generating_outline</t>
        </is>
      </c>
      <c r="D38" s="13" t="inlineStr">
        <is>
          <t>generating_outline</t>
        </is>
      </c>
      <c r="E38" s="13" t="inlineStr">
        <is>
          <t>FIELDS_WRITE</t>
        </is>
      </c>
      <c r="F38" s="13" t="inlineStr">
        <is>
          <t>system@tsip.ai</t>
        </is>
      </c>
      <c r="G38" s="13" t="inlineStr">
        <is>
          <t>1998a617-9037-46d2-912b-adfdb4441444</t>
        </is>
      </c>
    </row>
    <row r="39">
      <c r="A39" s="13" t="inlineStr">
        <is>
          <t>1998a617</t>
        </is>
      </c>
      <c r="B39" s="13" t="inlineStr">
        <is>
          <t>2026-09-01T22:01:34.674Z</t>
        </is>
      </c>
      <c r="C39" s="13" t="inlineStr">
        <is>
          <t>generating_outline</t>
        </is>
      </c>
      <c r="D39" s="13" t="inlineStr">
        <is>
          <t>decomp_review</t>
        </is>
      </c>
      <c r="E39" s="13" t="inlineStr">
        <is>
          <t>SUBMIT_TASK_OUTLINE</t>
        </is>
      </c>
      <c r="F39" s="13" t="inlineStr">
        <is>
          <t>system@tsip.ai</t>
        </is>
      </c>
      <c r="G39" s="13" t="inlineStr">
        <is>
          <t>1998a617-9037-46d2-912b-adfdb4441444</t>
        </is>
      </c>
    </row>
    <row r="40">
      <c r="A40" s="13" t="inlineStr">
        <is>
          <t>1ef09f14</t>
        </is>
      </c>
      <c r="B40" s="13" t="inlineStr">
        <is>
          <t>2026-09-01T15:18:02.424Z</t>
        </is>
      </c>
      <c r="C40" s="13" t="inlineStr">
        <is>
          <t>NONE</t>
        </is>
      </c>
      <c r="D40" s="13" t="inlineStr">
        <is>
          <t>needs_decomp</t>
        </is>
      </c>
      <c r="E40" s="13" t="inlineStr">
        <is>
          <t>SPAWNED</t>
        </is>
      </c>
      <c r="F40" s="13" t="inlineStr">
        <is>
          <t>system@tsip.ai</t>
        </is>
      </c>
      <c r="G40" s="13" t="inlineStr">
        <is>
          <t>1ef09f14-3119-434f-b561-884e196c6caa</t>
        </is>
      </c>
    </row>
    <row r="41">
      <c r="A41" s="13" t="inlineStr">
        <is>
          <t>1ef09f14</t>
        </is>
      </c>
      <c r="B41" s="13" t="inlineStr">
        <is>
          <t>2026-09-01T15:18:55.52Z</t>
        </is>
      </c>
      <c r="C41" s="13" t="inlineStr">
        <is>
          <t>needs_decomp</t>
        </is>
      </c>
      <c r="D41" s="13" t="inlineStr">
        <is>
          <t>needs_decomp</t>
        </is>
      </c>
      <c r="E41" s="13" t="inlineStr">
        <is>
          <t>AUTO_POOL</t>
        </is>
      </c>
      <c r="F41" s="13" t="inlineStr">
        <is>
          <t>sophie.xiao@toptal.com</t>
        </is>
      </c>
      <c r="G41" s="13" t="inlineStr">
        <is>
          <t>1ef09f14-3119-434f-b561-884e196c6caa</t>
        </is>
      </c>
    </row>
    <row r="42">
      <c r="A42" s="13" t="inlineStr">
        <is>
          <t>1ef09f14</t>
        </is>
      </c>
      <c r="B42" s="13" t="inlineStr">
        <is>
          <t>2026-09-01T15:18:55.558Z</t>
        </is>
      </c>
      <c r="C42" s="13" t="inlineStr">
        <is>
          <t>needs_decomp</t>
        </is>
      </c>
      <c r="D42" s="13" t="inlineStr">
        <is>
          <t>decomp_complexity_check</t>
        </is>
      </c>
      <c r="E42" s="13" t="inlineStr">
        <is>
          <t>SUBMIT_DECOMP</t>
        </is>
      </c>
      <c r="F42" s="13" t="inlineStr">
        <is>
          <t>sophie.xiao@toptal.com</t>
        </is>
      </c>
      <c r="G42" s="13" t="inlineStr">
        <is>
          <t>1ef09f14-3119-434f-b561-884e196c6caa</t>
        </is>
      </c>
    </row>
    <row r="43">
      <c r="A43" s="13" t="inlineStr">
        <is>
          <t>1ef09f14</t>
        </is>
      </c>
      <c r="B43" s="13" t="inlineStr">
        <is>
          <t>2026-09-01T15:19:02.758Z</t>
        </is>
      </c>
      <c r="C43" s="13" t="inlineStr">
        <is>
          <t>decomp_complexity_check</t>
        </is>
      </c>
      <c r="D43" s="13" t="inlineStr">
        <is>
          <t>decomp_complexity_check</t>
        </is>
      </c>
      <c r="E43" s="13" t="inlineStr">
        <is>
          <t>FIELDS_WRITE</t>
        </is>
      </c>
      <c r="F43" s="13" t="inlineStr">
        <is>
          <t>system@tsip.ai</t>
        </is>
      </c>
      <c r="G43" s="13" t="inlineStr">
        <is>
          <t>1ef09f14-3119-434f-b561-884e196c6caa</t>
        </is>
      </c>
    </row>
    <row r="44">
      <c r="A44" s="13" t="inlineStr">
        <is>
          <t>1ef09f14</t>
        </is>
      </c>
      <c r="B44" s="13" t="inlineStr">
        <is>
          <t>2026-09-01T15:19:03.517Z</t>
        </is>
      </c>
      <c r="C44" s="13" t="inlineStr">
        <is>
          <t>decomp_complexity_check</t>
        </is>
      </c>
      <c r="D44" s="13" t="inlineStr">
        <is>
          <t>generating_outline</t>
        </is>
      </c>
      <c r="E44" s="13" t="inlineStr">
        <is>
          <t>COMPLEXITY_CHECK_DONE</t>
        </is>
      </c>
      <c r="F44" s="13" t="inlineStr">
        <is>
          <t>system@tsip.ai</t>
        </is>
      </c>
      <c r="G44" s="13" t="inlineStr">
        <is>
          <t>1ef09f14-3119-434f-b561-884e196c6caa</t>
        </is>
      </c>
    </row>
    <row r="45">
      <c r="A45" s="13" t="inlineStr">
        <is>
          <t>1ef09f14</t>
        </is>
      </c>
      <c r="B45" s="13" t="inlineStr">
        <is>
          <t>2026-09-01T15:20:11.768Z</t>
        </is>
      </c>
      <c r="C45" s="13" t="inlineStr">
        <is>
          <t>generating_outline</t>
        </is>
      </c>
      <c r="D45" s="13" t="inlineStr">
        <is>
          <t>decomp_review</t>
        </is>
      </c>
      <c r="E45" s="13" t="inlineStr">
        <is>
          <t>SUBMIT_TASK_OUTLINE</t>
        </is>
      </c>
      <c r="F45" s="13" t="inlineStr">
        <is>
          <t>system@tsip.ai</t>
        </is>
      </c>
      <c r="G45" s="13" t="inlineStr">
        <is>
          <t>1ef09f14-3119-434f-b561-884e196c6caa</t>
        </is>
      </c>
    </row>
    <row r="46">
      <c r="A46" s="13" t="inlineStr">
        <is>
          <t>1ef09f14</t>
        </is>
      </c>
      <c r="B46" s="13" t="inlineStr">
        <is>
          <t>2026-09-01T21:57:05.495Z</t>
        </is>
      </c>
      <c r="C46" s="13" t="inlineStr">
        <is>
          <t>decomp_review</t>
        </is>
      </c>
      <c r="D46" s="13" t="inlineStr">
        <is>
          <t>generating_outline</t>
        </is>
      </c>
      <c r="E46" s="13" t="inlineStr">
        <is>
          <t>ADMIN_OVERRIDE</t>
        </is>
      </c>
      <c r="F46" s="13" t="inlineStr">
        <is>
          <t>ali@meridian.ai</t>
        </is>
      </c>
      <c r="G46" s="13" t="inlineStr">
        <is>
          <t>1ef09f14-3119-434f-b561-884e196c6caa</t>
        </is>
      </c>
    </row>
    <row r="47">
      <c r="A47" s="13" t="inlineStr">
        <is>
          <t>1ef09f14</t>
        </is>
      </c>
      <c r="B47" s="13" t="inlineStr">
        <is>
          <t>2026-09-01T21:59:02.359Z</t>
        </is>
      </c>
      <c r="C47" s="13" t="inlineStr">
        <is>
          <t>generating_outline</t>
        </is>
      </c>
      <c r="D47" s="13" t="inlineStr">
        <is>
          <t>generating_outline</t>
        </is>
      </c>
      <c r="E47" s="13" t="inlineStr">
        <is>
          <t>FIELDS_WRITE</t>
        </is>
      </c>
      <c r="F47" s="13" t="inlineStr">
        <is>
          <t>system@tsip.ai</t>
        </is>
      </c>
      <c r="G47" s="13" t="inlineStr">
        <is>
          <t>1ef09f14-3119-434f-b561-884e196c6caa</t>
        </is>
      </c>
    </row>
    <row r="48">
      <c r="A48" s="13" t="inlineStr">
        <is>
          <t>1ef09f14</t>
        </is>
      </c>
      <c r="B48" s="13" t="inlineStr">
        <is>
          <t>2026-09-01T21:59:03.751Z</t>
        </is>
      </c>
      <c r="C48" s="13" t="inlineStr">
        <is>
          <t>generating_outline</t>
        </is>
      </c>
      <c r="D48" s="13" t="inlineStr">
        <is>
          <t>decomp_review</t>
        </is>
      </c>
      <c r="E48" s="13" t="inlineStr">
        <is>
          <t>SUBMIT_TASK_OUTLINE</t>
        </is>
      </c>
      <c r="F48" s="13" t="inlineStr">
        <is>
          <t>system@tsip.ai</t>
        </is>
      </c>
      <c r="G48" s="13" t="inlineStr">
        <is>
          <t>1ef09f14-3119-434f-b561-884e196c6caa</t>
        </is>
      </c>
    </row>
    <row r="49">
      <c r="A49" s="13" t="inlineStr">
        <is>
          <t>21d534e3</t>
        </is>
      </c>
      <c r="B49" s="13" t="inlineStr">
        <is>
          <t>2026-09-01T15:13:43.908Z</t>
        </is>
      </c>
      <c r="C49" s="13" t="inlineStr">
        <is>
          <t>NONE</t>
        </is>
      </c>
      <c r="D49" s="13" t="inlineStr">
        <is>
          <t>needs_decomp</t>
        </is>
      </c>
      <c r="E49" s="13" t="inlineStr">
        <is>
          <t>SPAWNED</t>
        </is>
      </c>
      <c r="F49" s="13" t="inlineStr">
        <is>
          <t>system@tsip.ai</t>
        </is>
      </c>
      <c r="G49" s="13" t="inlineStr">
        <is>
          <t>21d534e3-8c09-46e5-8a5d-b5c55c8522a2</t>
        </is>
      </c>
    </row>
    <row r="50">
      <c r="A50" s="13" t="inlineStr">
        <is>
          <t>21d534e3</t>
        </is>
      </c>
      <c r="B50" s="13" t="inlineStr">
        <is>
          <t>2026-09-01T15:19:30.56Z</t>
        </is>
      </c>
      <c r="C50" s="13" t="inlineStr">
        <is>
          <t>needs_decomp</t>
        </is>
      </c>
      <c r="D50" s="13" t="inlineStr">
        <is>
          <t>needs_decomp</t>
        </is>
      </c>
      <c r="E50" s="13" t="inlineStr">
        <is>
          <t>AUTO_POOL</t>
        </is>
      </c>
      <c r="F50" s="13" t="inlineStr">
        <is>
          <t>apathy@uchicago.edu</t>
        </is>
      </c>
      <c r="G50" s="13" t="inlineStr">
        <is>
          <t>21d534e3-8c09-46e5-8a5d-b5c55c8522a2</t>
        </is>
      </c>
    </row>
    <row r="51">
      <c r="A51" s="13" t="inlineStr">
        <is>
          <t>21d534e3</t>
        </is>
      </c>
      <c r="B51" s="13" t="inlineStr">
        <is>
          <t>2026-09-01T15:19:30.588Z</t>
        </is>
      </c>
      <c r="C51" s="13" t="inlineStr">
        <is>
          <t>needs_decomp</t>
        </is>
      </c>
      <c r="D51" s="13" t="inlineStr">
        <is>
          <t>decomp_complexity_check</t>
        </is>
      </c>
      <c r="E51" s="13" t="inlineStr">
        <is>
          <t>SUBMIT_DECOMP</t>
        </is>
      </c>
      <c r="F51" s="13" t="inlineStr">
        <is>
          <t>apathy@uchicago.edu</t>
        </is>
      </c>
      <c r="G51" s="13" t="inlineStr">
        <is>
          <t>21d534e3-8c09-46e5-8a5d-b5c55c8522a2</t>
        </is>
      </c>
    </row>
    <row r="52">
      <c r="A52" s="13" t="inlineStr">
        <is>
          <t>21d534e3</t>
        </is>
      </c>
      <c r="B52" s="13" t="inlineStr">
        <is>
          <t>2026-09-01T15:19:38.175Z</t>
        </is>
      </c>
      <c r="C52" s="13" t="inlineStr">
        <is>
          <t>decomp_complexity_check</t>
        </is>
      </c>
      <c r="D52" s="13" t="inlineStr">
        <is>
          <t>decomp_complexity_check</t>
        </is>
      </c>
      <c r="E52" s="13" t="inlineStr">
        <is>
          <t>FIELDS_WRITE</t>
        </is>
      </c>
      <c r="F52" s="13" t="inlineStr">
        <is>
          <t>system@tsip.ai</t>
        </is>
      </c>
      <c r="G52" s="13" t="inlineStr">
        <is>
          <t>21d534e3-8c09-46e5-8a5d-b5c55c8522a2</t>
        </is>
      </c>
    </row>
    <row r="53">
      <c r="A53" s="13" t="inlineStr">
        <is>
          <t>21d534e3</t>
        </is>
      </c>
      <c r="B53" s="13" t="inlineStr">
        <is>
          <t>2026-09-01T15:19:39.821Z</t>
        </is>
      </c>
      <c r="C53" s="13" t="inlineStr">
        <is>
          <t>decomp_complexity_check</t>
        </is>
      </c>
      <c r="D53" s="13" t="inlineStr">
        <is>
          <t>generating_outline</t>
        </is>
      </c>
      <c r="E53" s="13" t="inlineStr">
        <is>
          <t>COMPLEXITY_CHECK_DONE</t>
        </is>
      </c>
      <c r="F53" s="13" t="inlineStr">
        <is>
          <t>system@tsip.ai</t>
        </is>
      </c>
      <c r="G53" s="13" t="inlineStr">
        <is>
          <t>21d534e3-8c09-46e5-8a5d-b5c55c8522a2</t>
        </is>
      </c>
    </row>
    <row r="54">
      <c r="A54" s="13" t="inlineStr">
        <is>
          <t>21d534e3</t>
        </is>
      </c>
      <c r="B54" s="13" t="inlineStr">
        <is>
          <t>2026-09-01T15:20:22.691Z</t>
        </is>
      </c>
      <c r="C54" s="13" t="inlineStr">
        <is>
          <t>generating_outline</t>
        </is>
      </c>
      <c r="D54" s="13" t="inlineStr">
        <is>
          <t>decomp_review</t>
        </is>
      </c>
      <c r="E54" s="13" t="inlineStr">
        <is>
          <t>SUBMIT_TASK_OUTLINE</t>
        </is>
      </c>
      <c r="F54" s="13" t="inlineStr">
        <is>
          <t>system@tsip.ai</t>
        </is>
      </c>
      <c r="G54" s="13" t="inlineStr">
        <is>
          <t>21d534e3-8c09-46e5-8a5d-b5c55c8522a2</t>
        </is>
      </c>
    </row>
    <row r="55">
      <c r="A55" s="13" t="inlineStr">
        <is>
          <t>21d534e3</t>
        </is>
      </c>
      <c r="B55" s="13" t="inlineStr">
        <is>
          <t>2026-09-01T21:57:05.065Z</t>
        </is>
      </c>
      <c r="C55" s="13" t="inlineStr">
        <is>
          <t>decomp_review</t>
        </is>
      </c>
      <c r="D55" s="13" t="inlineStr">
        <is>
          <t>generating_outline</t>
        </is>
      </c>
      <c r="E55" s="13" t="inlineStr">
        <is>
          <t>ADMIN_OVERRIDE</t>
        </is>
      </c>
      <c r="F55" s="13" t="inlineStr">
        <is>
          <t>ali@meridian.ai</t>
        </is>
      </c>
      <c r="G55" s="13" t="inlineStr">
        <is>
          <t>21d534e3-8c09-46e5-8a5d-b5c55c8522a2</t>
        </is>
      </c>
    </row>
    <row r="56">
      <c r="A56" s="13" t="inlineStr">
        <is>
          <t>21d534e3</t>
        </is>
      </c>
      <c r="B56" s="13" t="inlineStr">
        <is>
          <t>2026-09-01T22:02:04.249Z</t>
        </is>
      </c>
      <c r="C56" s="13" t="inlineStr">
        <is>
          <t>generating_outline</t>
        </is>
      </c>
      <c r="D56" s="13" t="inlineStr">
        <is>
          <t>generating_outline</t>
        </is>
      </c>
      <c r="E56" s="13" t="inlineStr">
        <is>
          <t>FIELDS_WRITE</t>
        </is>
      </c>
      <c r="F56" s="13" t="inlineStr">
        <is>
          <t>system@tsip.ai</t>
        </is>
      </c>
      <c r="G56" s="13" t="inlineStr">
        <is>
          <t>21d534e3-8c09-46e5-8a5d-b5c55c8522a2</t>
        </is>
      </c>
    </row>
    <row r="57">
      <c r="A57" s="13" t="inlineStr">
        <is>
          <t>21d534e3</t>
        </is>
      </c>
      <c r="B57" s="13" t="inlineStr">
        <is>
          <t>2026-09-01T22:02:05.346Z</t>
        </is>
      </c>
      <c r="C57" s="13" t="inlineStr">
        <is>
          <t>generating_outline</t>
        </is>
      </c>
      <c r="D57" s="13" t="inlineStr">
        <is>
          <t>decomp_review</t>
        </is>
      </c>
      <c r="E57" s="13" t="inlineStr">
        <is>
          <t>SUBMIT_TASK_OUTLINE</t>
        </is>
      </c>
      <c r="F57" s="13" t="inlineStr">
        <is>
          <t>system@tsip.ai</t>
        </is>
      </c>
      <c r="G57" s="13" t="inlineStr">
        <is>
          <t>21d534e3-8c09-46e5-8a5d-b5c55c8522a2</t>
        </is>
      </c>
    </row>
    <row r="58">
      <c r="A58" s="13" t="inlineStr">
        <is>
          <t>25613ef5</t>
        </is>
      </c>
      <c r="B58" s="13" t="inlineStr">
        <is>
          <t>2026-09-01T12:58:03.59Z</t>
        </is>
      </c>
      <c r="C58" s="13" t="inlineStr">
        <is>
          <t>NONE</t>
        </is>
      </c>
      <c r="D58" s="13" t="inlineStr">
        <is>
          <t>needs_decomp</t>
        </is>
      </c>
      <c r="E58" s="13" t="inlineStr">
        <is>
          <t>SPAWNED</t>
        </is>
      </c>
      <c r="F58" s="13" t="inlineStr">
        <is>
          <t>system@tsip.ai</t>
        </is>
      </c>
      <c r="G58" s="13" t="inlineStr">
        <is>
          <t>25613ef5-50aa-4ab2-b49a-4ea4b4dc519a</t>
        </is>
      </c>
    </row>
    <row r="59">
      <c r="A59" s="13" t="inlineStr">
        <is>
          <t>25613ef5</t>
        </is>
      </c>
      <c r="B59" s="13" t="inlineStr">
        <is>
          <t>2026-09-01T13:25:16.039Z</t>
        </is>
      </c>
      <c r="C59" s="13" t="inlineStr">
        <is>
          <t>needs_decomp</t>
        </is>
      </c>
      <c r="D59" s="13" t="inlineStr">
        <is>
          <t>needs_decomp</t>
        </is>
      </c>
      <c r="E59" s="13" t="inlineStr">
        <is>
          <t>AUTO_POOL</t>
        </is>
      </c>
      <c r="F59" s="13" t="inlineStr">
        <is>
          <t>wangche2532@gmail.com</t>
        </is>
      </c>
      <c r="G59" s="13" t="inlineStr">
        <is>
          <t>25613ef5-50aa-4ab2-b49a-4ea4b4dc519a</t>
        </is>
      </c>
    </row>
    <row r="60">
      <c r="A60" s="13" t="inlineStr">
        <is>
          <t>25613ef5</t>
        </is>
      </c>
      <c r="B60" s="13" t="inlineStr">
        <is>
          <t>2026-09-01T13:25:16.081Z</t>
        </is>
      </c>
      <c r="C60" s="13" t="inlineStr">
        <is>
          <t>needs_decomp</t>
        </is>
      </c>
      <c r="D60" s="13" t="inlineStr">
        <is>
          <t>decomp_complexity_check</t>
        </is>
      </c>
      <c r="E60" s="13" t="inlineStr">
        <is>
          <t>SUBMIT_DECOMP</t>
        </is>
      </c>
      <c r="F60" s="13" t="inlineStr">
        <is>
          <t>wangche2532@gmail.com</t>
        </is>
      </c>
      <c r="G60" s="13" t="inlineStr">
        <is>
          <t>25613ef5-50aa-4ab2-b49a-4ea4b4dc519a</t>
        </is>
      </c>
    </row>
    <row r="61">
      <c r="A61" s="13" t="inlineStr">
        <is>
          <t>25613ef5</t>
        </is>
      </c>
      <c r="B61" s="13" t="inlineStr">
        <is>
          <t>2026-09-01T13:25:28.628Z</t>
        </is>
      </c>
      <c r="C61" s="13" t="inlineStr">
        <is>
          <t>decomp_complexity_check</t>
        </is>
      </c>
      <c r="D61" s="13" t="inlineStr">
        <is>
          <t>decomp_complexity_check</t>
        </is>
      </c>
      <c r="E61" s="13" t="inlineStr">
        <is>
          <t>FIELDS_WRITE</t>
        </is>
      </c>
      <c r="F61" s="13" t="inlineStr">
        <is>
          <t>system@tsip.ai</t>
        </is>
      </c>
      <c r="G61" s="13" t="inlineStr">
        <is>
          <t>25613ef5-50aa-4ab2-b49a-4ea4b4dc519a</t>
        </is>
      </c>
    </row>
    <row r="62">
      <c r="A62" s="13" t="inlineStr">
        <is>
          <t>25613ef5</t>
        </is>
      </c>
      <c r="B62" s="13" t="inlineStr">
        <is>
          <t>2026-09-01T13:25:29.487Z</t>
        </is>
      </c>
      <c r="C62" s="13" t="inlineStr">
        <is>
          <t>decomp_complexity_check</t>
        </is>
      </c>
      <c r="D62" s="13" t="inlineStr">
        <is>
          <t>generating_outline</t>
        </is>
      </c>
      <c r="E62" s="13" t="inlineStr">
        <is>
          <t>COMPLEXITY_CHECK_DONE</t>
        </is>
      </c>
      <c r="F62" s="13" t="inlineStr">
        <is>
          <t>system@tsip.ai</t>
        </is>
      </c>
      <c r="G62" s="13" t="inlineStr">
        <is>
          <t>25613ef5-50aa-4ab2-b49a-4ea4b4dc519a</t>
        </is>
      </c>
    </row>
    <row r="63">
      <c r="A63" s="13" t="inlineStr">
        <is>
          <t>25613ef5</t>
        </is>
      </c>
      <c r="B63" s="13" t="inlineStr">
        <is>
          <t>2026-09-01T13:26:45.137Z</t>
        </is>
      </c>
      <c r="C63" s="13" t="inlineStr">
        <is>
          <t>generating_outline</t>
        </is>
      </c>
      <c r="D63" s="13" t="inlineStr">
        <is>
          <t>decomp_review</t>
        </is>
      </c>
      <c r="E63" s="13" t="inlineStr">
        <is>
          <t>SUBMIT_TASK_OUTLINE</t>
        </is>
      </c>
      <c r="F63" s="13" t="inlineStr">
        <is>
          <t>system@tsip.ai</t>
        </is>
      </c>
      <c r="G63" s="13" t="inlineStr">
        <is>
          <t>25613ef5-50aa-4ab2-b49a-4ea4b4dc519a</t>
        </is>
      </c>
    </row>
    <row r="64">
      <c r="A64" s="13" t="inlineStr">
        <is>
          <t>25613ef5</t>
        </is>
      </c>
      <c r="B64" s="13" t="inlineStr">
        <is>
          <t>2026-09-01T21:57:04.376Z</t>
        </is>
      </c>
      <c r="C64" s="13" t="inlineStr">
        <is>
          <t>decomp_review</t>
        </is>
      </c>
      <c r="D64" s="13" t="inlineStr">
        <is>
          <t>generating_outline</t>
        </is>
      </c>
      <c r="E64" s="13" t="inlineStr">
        <is>
          <t>ADMIN_OVERRIDE</t>
        </is>
      </c>
      <c r="F64" s="13" t="inlineStr">
        <is>
          <t>ali@meridian.ai</t>
        </is>
      </c>
      <c r="G64" s="13" t="inlineStr">
        <is>
          <t>25613ef5-50aa-4ab2-b49a-4ea4b4dc519a</t>
        </is>
      </c>
    </row>
    <row r="65">
      <c r="A65" s="13" t="inlineStr">
        <is>
          <t>25613ef5</t>
        </is>
      </c>
      <c r="B65" s="13" t="inlineStr">
        <is>
          <t>2026-09-01T22:11:27.227Z</t>
        </is>
      </c>
      <c r="C65" s="13" t="inlineStr">
        <is>
          <t>generating_outline</t>
        </is>
      </c>
      <c r="D65" s="13" t="inlineStr">
        <is>
          <t>decomp_review</t>
        </is>
      </c>
      <c r="E65" s="13" t="inlineStr">
        <is>
          <t>SUBMIT_TASK_OUTLINE</t>
        </is>
      </c>
      <c r="F65" s="13" t="inlineStr">
        <is>
          <t>system@tsip.ai</t>
        </is>
      </c>
      <c r="G65" s="13" t="inlineStr">
        <is>
          <t>25613ef5-50aa-4ab2-b49a-4ea4b4dc519a</t>
        </is>
      </c>
    </row>
    <row r="66">
      <c r="A66" s="13" t="inlineStr">
        <is>
          <t>27b833b2</t>
        </is>
      </c>
      <c r="B66" s="13" t="inlineStr">
        <is>
          <t>2026-09-01T20:29:05.622Z</t>
        </is>
      </c>
      <c r="C66" s="13" t="inlineStr">
        <is>
          <t>NONE</t>
        </is>
      </c>
      <c r="D66" s="13" t="inlineStr">
        <is>
          <t>needs_decomp</t>
        </is>
      </c>
      <c r="E66" s="13" t="inlineStr">
        <is>
          <t>SPAWNED</t>
        </is>
      </c>
      <c r="F66" s="13" t="inlineStr">
        <is>
          <t>system@tsip.ai</t>
        </is>
      </c>
      <c r="G66" s="13" t="inlineStr">
        <is>
          <t>27b833b2-b759-439b-aa91-db78616e22b8</t>
        </is>
      </c>
    </row>
    <row r="67">
      <c r="A67" s="13" t="inlineStr">
        <is>
          <t>27b833b2</t>
        </is>
      </c>
      <c r="B67" s="13" t="inlineStr">
        <is>
          <t>2026-09-01T20:29:41.801Z</t>
        </is>
      </c>
      <c r="C67" s="13" t="inlineStr">
        <is>
          <t>needs_decomp</t>
        </is>
      </c>
      <c r="D67" s="13" t="inlineStr">
        <is>
          <t>needs_decomp</t>
        </is>
      </c>
      <c r="E67" s="13" t="inlineStr">
        <is>
          <t>AUTO_POOL</t>
        </is>
      </c>
      <c r="F67" s="13" t="inlineStr">
        <is>
          <t>mshuriah2702@gmail.com</t>
        </is>
      </c>
      <c r="G67" s="13" t="inlineStr">
        <is>
          <t>27b833b2-b759-439b-aa91-db78616e22b8</t>
        </is>
      </c>
    </row>
    <row r="68">
      <c r="A68" s="13" t="inlineStr">
        <is>
          <t>27b833b2</t>
        </is>
      </c>
      <c r="B68" s="13" t="inlineStr">
        <is>
          <t>2026-09-01T20:29:41.854Z</t>
        </is>
      </c>
      <c r="C68" s="13" t="inlineStr">
        <is>
          <t>needs_decomp</t>
        </is>
      </c>
      <c r="D68" s="13" t="inlineStr">
        <is>
          <t>decomp_complexity_check</t>
        </is>
      </c>
      <c r="E68" s="13" t="inlineStr">
        <is>
          <t>SUBMIT_DECOMP</t>
        </is>
      </c>
      <c r="F68" s="13" t="inlineStr">
        <is>
          <t>mshuriah2702@gmail.com</t>
        </is>
      </c>
      <c r="G68" s="13" t="inlineStr">
        <is>
          <t>27b833b2-b759-439b-aa91-db78616e22b8</t>
        </is>
      </c>
    </row>
    <row r="69">
      <c r="A69" s="13" t="inlineStr">
        <is>
          <t>27b833b2</t>
        </is>
      </c>
      <c r="B69" s="13" t="inlineStr">
        <is>
          <t>2026-09-01T20:29:50.932Z</t>
        </is>
      </c>
      <c r="C69" s="13" t="inlineStr">
        <is>
          <t>decomp_complexity_check</t>
        </is>
      </c>
      <c r="D69" s="13" t="inlineStr">
        <is>
          <t>decomp_complexity_check</t>
        </is>
      </c>
      <c r="E69" s="13" t="inlineStr">
        <is>
          <t>FIELDS_WRITE</t>
        </is>
      </c>
      <c r="F69" s="13" t="inlineStr">
        <is>
          <t>system@tsip.ai</t>
        </is>
      </c>
      <c r="G69" s="13" t="inlineStr">
        <is>
          <t>27b833b2-b759-439b-aa91-db78616e22b8</t>
        </is>
      </c>
    </row>
    <row r="70">
      <c r="A70" s="13" t="inlineStr">
        <is>
          <t>27b833b2</t>
        </is>
      </c>
      <c r="B70" s="13" t="inlineStr">
        <is>
          <t>2026-09-01T20:29:51.883Z</t>
        </is>
      </c>
      <c r="C70" s="13" t="inlineStr">
        <is>
          <t>decomp_complexity_check</t>
        </is>
      </c>
      <c r="D70" s="13" t="inlineStr">
        <is>
          <t>generating_outline</t>
        </is>
      </c>
      <c r="E70" s="13" t="inlineStr">
        <is>
          <t>COMPLEXITY_CHECK_DONE</t>
        </is>
      </c>
      <c r="F70" s="13" t="inlineStr">
        <is>
          <t>system@tsip.ai</t>
        </is>
      </c>
      <c r="G70" s="13" t="inlineStr">
        <is>
          <t>27b833b2-b759-439b-aa91-db78616e22b8</t>
        </is>
      </c>
    </row>
    <row r="71">
      <c r="A71" s="13" t="inlineStr">
        <is>
          <t>27b833b2</t>
        </is>
      </c>
      <c r="B71" s="13" t="inlineStr">
        <is>
          <t>2026-09-01T20:32:57.456Z</t>
        </is>
      </c>
      <c r="C71" s="13" t="inlineStr">
        <is>
          <t>generating_outline</t>
        </is>
      </c>
      <c r="D71" s="13" t="inlineStr">
        <is>
          <t>decomp_review</t>
        </is>
      </c>
      <c r="E71" s="13" t="inlineStr">
        <is>
          <t>SUBMIT_TASK_OUTLINE</t>
        </is>
      </c>
      <c r="F71" s="13" t="inlineStr">
        <is>
          <t>system@tsip.ai</t>
        </is>
      </c>
      <c r="G71" s="13" t="inlineStr">
        <is>
          <t>27b833b2-b759-439b-aa91-db78616e22b8</t>
        </is>
      </c>
    </row>
    <row r="72">
      <c r="A72" s="13" t="inlineStr">
        <is>
          <t>27b833b2</t>
        </is>
      </c>
      <c r="B72" s="13" t="inlineStr">
        <is>
          <t>2026-09-01T21:57:06.819Z</t>
        </is>
      </c>
      <c r="C72" s="13" t="inlineStr">
        <is>
          <t>decomp_review</t>
        </is>
      </c>
      <c r="D72" s="13" t="inlineStr">
        <is>
          <t>generating_outline</t>
        </is>
      </c>
      <c r="E72" s="13" t="inlineStr">
        <is>
          <t>ADMIN_OVERRIDE</t>
        </is>
      </c>
      <c r="F72" s="13" t="inlineStr">
        <is>
          <t>ali@meridian.ai</t>
        </is>
      </c>
      <c r="G72" s="13" t="inlineStr">
        <is>
          <t>27b833b2-b759-439b-aa91-db78616e22b8</t>
        </is>
      </c>
    </row>
    <row r="73">
      <c r="A73" s="13" t="inlineStr">
        <is>
          <t>27b833b2</t>
        </is>
      </c>
      <c r="B73" s="13" t="inlineStr">
        <is>
          <t>2026-09-01T22:02:11.498Z</t>
        </is>
      </c>
      <c r="C73" s="13" t="inlineStr">
        <is>
          <t>generating_outline</t>
        </is>
      </c>
      <c r="D73" s="13" t="inlineStr">
        <is>
          <t>generating_outline</t>
        </is>
      </c>
      <c r="E73" s="13" t="inlineStr">
        <is>
          <t>FIELDS_WRITE</t>
        </is>
      </c>
      <c r="F73" s="13" t="inlineStr">
        <is>
          <t>system@tsip.ai</t>
        </is>
      </c>
      <c r="G73" s="13" t="inlineStr">
        <is>
          <t>27b833b2-b759-439b-aa91-db78616e22b8</t>
        </is>
      </c>
    </row>
    <row r="74">
      <c r="A74" s="13" t="inlineStr">
        <is>
          <t>27b833b2</t>
        </is>
      </c>
      <c r="B74" s="13" t="inlineStr">
        <is>
          <t>2026-09-01T22:02:12.566Z</t>
        </is>
      </c>
      <c r="C74" s="13" t="inlineStr">
        <is>
          <t>generating_outline</t>
        </is>
      </c>
      <c r="D74" s="13" t="inlineStr">
        <is>
          <t>decomp_review</t>
        </is>
      </c>
      <c r="E74" s="13" t="inlineStr">
        <is>
          <t>SUBMIT_TASK_OUTLINE</t>
        </is>
      </c>
      <c r="F74" s="13" t="inlineStr">
        <is>
          <t>system@tsip.ai</t>
        </is>
      </c>
      <c r="G74" s="13" t="inlineStr">
        <is>
          <t>27b833b2-b759-439b-aa91-db78616e22b8</t>
        </is>
      </c>
    </row>
    <row r="75">
      <c r="A75" s="13" t="inlineStr">
        <is>
          <t>29ea5ad8</t>
        </is>
      </c>
      <c r="B75" s="13" t="inlineStr">
        <is>
          <t>2026-08-31T22:29:25.316Z</t>
        </is>
      </c>
      <c r="C75" s="13" t="inlineStr">
        <is>
          <t>NONE</t>
        </is>
      </c>
      <c r="D75" s="13" t="inlineStr">
        <is>
          <t>needs_decomp</t>
        </is>
      </c>
      <c r="E75" s="13" t="inlineStr">
        <is>
          <t>SPAWNED</t>
        </is>
      </c>
      <c r="F75" s="13" t="inlineStr">
        <is>
          <t>system@tsip.ai</t>
        </is>
      </c>
      <c r="G75" s="13" t="inlineStr">
        <is>
          <t>29ea5ad8-04b1-4dc4-8220-ae9df37ae12d</t>
        </is>
      </c>
    </row>
    <row r="76">
      <c r="A76" s="13" t="inlineStr">
        <is>
          <t>29ea5ad8</t>
        </is>
      </c>
      <c r="B76" s="13" t="inlineStr">
        <is>
          <t>2026-08-31T22:33:21.058Z</t>
        </is>
      </c>
      <c r="C76" s="13" t="inlineStr">
        <is>
          <t>needs_decomp</t>
        </is>
      </c>
      <c r="D76" s="13" t="inlineStr">
        <is>
          <t>needs_decomp</t>
        </is>
      </c>
      <c r="E76" s="13" t="inlineStr">
        <is>
          <t>AUTO_POOL</t>
        </is>
      </c>
      <c r="F76" s="13" t="inlineStr">
        <is>
          <t>wangche2532@gmail.com</t>
        </is>
      </c>
      <c r="G76" s="13" t="inlineStr">
        <is>
          <t>29ea5ad8-04b1-4dc4-8220-ae9df37ae12d</t>
        </is>
      </c>
    </row>
    <row r="77">
      <c r="A77" s="13" t="inlineStr">
        <is>
          <t>29ea5ad8</t>
        </is>
      </c>
      <c r="B77" s="13" t="inlineStr">
        <is>
          <t>2026-08-31T22:33:21.107Z</t>
        </is>
      </c>
      <c r="C77" s="13" t="inlineStr">
        <is>
          <t>needs_decomp</t>
        </is>
      </c>
      <c r="D77" s="13" t="inlineStr">
        <is>
          <t>decomp_complexity_check</t>
        </is>
      </c>
      <c r="E77" s="13" t="inlineStr">
        <is>
          <t>SUBMIT_DECOMP</t>
        </is>
      </c>
      <c r="F77" s="13" t="inlineStr">
        <is>
          <t>wangche2532@gmail.com</t>
        </is>
      </c>
      <c r="G77" s="13" t="inlineStr">
        <is>
          <t>29ea5ad8-04b1-4dc4-8220-ae9df37ae12d</t>
        </is>
      </c>
    </row>
    <row r="78">
      <c r="A78" s="13" t="inlineStr">
        <is>
          <t>29ea5ad8</t>
        </is>
      </c>
      <c r="B78" s="13" t="inlineStr">
        <is>
          <t>2026-08-31T22:33:28.549Z</t>
        </is>
      </c>
      <c r="C78" s="13" t="inlineStr">
        <is>
          <t>decomp_complexity_check</t>
        </is>
      </c>
      <c r="D78" s="13" t="inlineStr">
        <is>
          <t>decomp_complexity_check</t>
        </is>
      </c>
      <c r="E78" s="13" t="inlineStr">
        <is>
          <t>FIELDS_WRITE</t>
        </is>
      </c>
      <c r="F78" s="13" t="inlineStr">
        <is>
          <t>system@tsip.ai</t>
        </is>
      </c>
      <c r="G78" s="13" t="inlineStr">
        <is>
          <t>29ea5ad8-04b1-4dc4-8220-ae9df37ae12d</t>
        </is>
      </c>
    </row>
    <row r="79">
      <c r="A79" s="13" t="inlineStr">
        <is>
          <t>29ea5ad8</t>
        </is>
      </c>
      <c r="B79" s="13" t="inlineStr">
        <is>
          <t>2026-08-31T22:33:29.329Z</t>
        </is>
      </c>
      <c r="C79" s="13" t="inlineStr">
        <is>
          <t>decomp_complexity_check</t>
        </is>
      </c>
      <c r="D79" s="13" t="inlineStr">
        <is>
          <t>generating_outline</t>
        </is>
      </c>
      <c r="E79" s="13" t="inlineStr">
        <is>
          <t>COMPLEXITY_CHECK_DONE</t>
        </is>
      </c>
      <c r="F79" s="13" t="inlineStr">
        <is>
          <t>system@tsip.ai</t>
        </is>
      </c>
      <c r="G79" s="13" t="inlineStr">
        <is>
          <t>29ea5ad8-04b1-4dc4-8220-ae9df37ae12d</t>
        </is>
      </c>
    </row>
    <row r="80">
      <c r="A80" s="13" t="inlineStr">
        <is>
          <t>29ea5ad8</t>
        </is>
      </c>
      <c r="B80" s="13" t="inlineStr">
        <is>
          <t>2026-08-31T22:34:52.294Z</t>
        </is>
      </c>
      <c r="C80" s="13" t="inlineStr">
        <is>
          <t>generating_outline</t>
        </is>
      </c>
      <c r="D80" s="13" t="inlineStr">
        <is>
          <t>decomp_review</t>
        </is>
      </c>
      <c r="E80" s="13" t="inlineStr">
        <is>
          <t>SUBMIT_TASK_OUTLINE</t>
        </is>
      </c>
      <c r="F80" s="13" t="inlineStr">
        <is>
          <t>system@tsip.ai</t>
        </is>
      </c>
      <c r="G80" s="13" t="inlineStr">
        <is>
          <t>29ea5ad8-04b1-4dc4-8220-ae9df37ae12d</t>
        </is>
      </c>
    </row>
    <row r="81">
      <c r="A81" s="13" t="inlineStr">
        <is>
          <t>29ea5ad8</t>
        </is>
      </c>
      <c r="B81" s="13" t="inlineStr">
        <is>
          <t>2026-09-01T21:57:04.253Z</t>
        </is>
      </c>
      <c r="C81" s="13" t="inlineStr">
        <is>
          <t>decomp_review</t>
        </is>
      </c>
      <c r="D81" s="13" t="inlineStr">
        <is>
          <t>generating_outline</t>
        </is>
      </c>
      <c r="E81" s="13" t="inlineStr">
        <is>
          <t>ADMIN_OVERRIDE</t>
        </is>
      </c>
      <c r="F81" s="13" t="inlineStr">
        <is>
          <t>ali@meridian.ai</t>
        </is>
      </c>
      <c r="G81" s="13" t="inlineStr">
        <is>
          <t>29ea5ad8-04b1-4dc4-8220-ae9df37ae12d</t>
        </is>
      </c>
    </row>
    <row r="82">
      <c r="A82" s="13" t="inlineStr">
        <is>
          <t>29ea5ad8</t>
        </is>
      </c>
      <c r="B82" s="13" t="inlineStr">
        <is>
          <t>2026-09-01T21:59:13.605Z</t>
        </is>
      </c>
      <c r="C82" s="13" t="inlineStr">
        <is>
          <t>generating_outline</t>
        </is>
      </c>
      <c r="D82" s="13" t="inlineStr">
        <is>
          <t>generating_outline</t>
        </is>
      </c>
      <c r="E82" s="13" t="inlineStr">
        <is>
          <t>FIELDS_WRITE</t>
        </is>
      </c>
      <c r="F82" s="13" t="inlineStr">
        <is>
          <t>system@tsip.ai</t>
        </is>
      </c>
      <c r="G82" s="13" t="inlineStr">
        <is>
          <t>29ea5ad8-04b1-4dc4-8220-ae9df37ae12d</t>
        </is>
      </c>
    </row>
    <row r="83">
      <c r="A83" s="13" t="inlineStr">
        <is>
          <t>29ea5ad8</t>
        </is>
      </c>
      <c r="B83" s="13" t="inlineStr">
        <is>
          <t>2026-09-01T21:59:14.737Z</t>
        </is>
      </c>
      <c r="C83" s="13" t="inlineStr">
        <is>
          <t>generating_outline</t>
        </is>
      </c>
      <c r="D83" s="13" t="inlineStr">
        <is>
          <t>decomp_review</t>
        </is>
      </c>
      <c r="E83" s="13" t="inlineStr">
        <is>
          <t>SUBMIT_TASK_OUTLINE</t>
        </is>
      </c>
      <c r="F83" s="13" t="inlineStr">
        <is>
          <t>system@tsip.ai</t>
        </is>
      </c>
      <c r="G83" s="13" t="inlineStr">
        <is>
          <t>29ea5ad8-04b1-4dc4-8220-ae9df37ae12d</t>
        </is>
      </c>
    </row>
    <row r="84">
      <c r="A84" s="13" t="inlineStr">
        <is>
          <t>2a63059e</t>
        </is>
      </c>
      <c r="B84" s="13" t="inlineStr">
        <is>
          <t>2026-09-01T15:45:17.712Z</t>
        </is>
      </c>
      <c r="C84" s="13" t="inlineStr">
        <is>
          <t>NONE</t>
        </is>
      </c>
      <c r="D84" s="13" t="inlineStr">
        <is>
          <t>needs_decomp</t>
        </is>
      </c>
      <c r="E84" s="13" t="inlineStr">
        <is>
          <t>SPAWNED</t>
        </is>
      </c>
      <c r="F84" s="13" t="inlineStr">
        <is>
          <t>system@tsip.ai</t>
        </is>
      </c>
      <c r="G84" s="13" t="inlineStr">
        <is>
          <t>2a63059e-b08b-495f-90df-23bb38eccd3f</t>
        </is>
      </c>
    </row>
    <row r="85">
      <c r="A85" s="13" t="inlineStr">
        <is>
          <t>2a63059e</t>
        </is>
      </c>
      <c r="B85" s="13" t="inlineStr">
        <is>
          <t>2026-09-01T15:48:21.968Z</t>
        </is>
      </c>
      <c r="C85" s="13" t="inlineStr">
        <is>
          <t>needs_decomp</t>
        </is>
      </c>
      <c r="D85" s="13" t="inlineStr">
        <is>
          <t>needs_decomp</t>
        </is>
      </c>
      <c r="E85" s="13" t="inlineStr">
        <is>
          <t>AUTO_POOL</t>
        </is>
      </c>
      <c r="F85" s="13" t="inlineStr">
        <is>
          <t>wangche2532@gmail.com</t>
        </is>
      </c>
      <c r="G85" s="13" t="inlineStr">
        <is>
          <t>2a63059e-b08b-495f-90df-23bb38eccd3f</t>
        </is>
      </c>
    </row>
    <row r="86">
      <c r="A86" s="13" t="inlineStr">
        <is>
          <t>2a63059e</t>
        </is>
      </c>
      <c r="B86" s="13" t="inlineStr">
        <is>
          <t>2026-09-01T15:48:22.053Z</t>
        </is>
      </c>
      <c r="C86" s="13" t="inlineStr">
        <is>
          <t>needs_decomp</t>
        </is>
      </c>
      <c r="D86" s="13" t="inlineStr">
        <is>
          <t>decomp_complexity_check</t>
        </is>
      </c>
      <c r="E86" s="13" t="inlineStr">
        <is>
          <t>SUBMIT_DECOMP</t>
        </is>
      </c>
      <c r="F86" s="13" t="inlineStr">
        <is>
          <t>wangche2532@gmail.com</t>
        </is>
      </c>
      <c r="G86" s="13" t="inlineStr">
        <is>
          <t>2a63059e-b08b-495f-90df-23bb38eccd3f</t>
        </is>
      </c>
    </row>
    <row r="87">
      <c r="A87" s="13" t="inlineStr">
        <is>
          <t>2a63059e</t>
        </is>
      </c>
      <c r="B87" s="13" t="inlineStr">
        <is>
          <t>2026-09-01T15:48:29.933Z</t>
        </is>
      </c>
      <c r="C87" s="13" t="inlineStr">
        <is>
          <t>decomp_complexity_check</t>
        </is>
      </c>
      <c r="D87" s="13" t="inlineStr">
        <is>
          <t>decomp_complexity_check</t>
        </is>
      </c>
      <c r="E87" s="13" t="inlineStr">
        <is>
          <t>FIELDS_WRITE</t>
        </is>
      </c>
      <c r="F87" s="13" t="inlineStr">
        <is>
          <t>system@tsip.ai</t>
        </is>
      </c>
      <c r="G87" s="13" t="inlineStr">
        <is>
          <t>2a63059e-b08b-495f-90df-23bb38eccd3f</t>
        </is>
      </c>
    </row>
    <row r="88">
      <c r="A88" s="13" t="inlineStr">
        <is>
          <t>2a63059e</t>
        </is>
      </c>
      <c r="B88" s="13" t="inlineStr">
        <is>
          <t>2026-09-01T15:48:31.332Z</t>
        </is>
      </c>
      <c r="C88" s="13" t="inlineStr">
        <is>
          <t>decomp_complexity_check</t>
        </is>
      </c>
      <c r="D88" s="13" t="inlineStr">
        <is>
          <t>generating_outline</t>
        </is>
      </c>
      <c r="E88" s="13" t="inlineStr">
        <is>
          <t>COMPLEXITY_CHECK_DONE</t>
        </is>
      </c>
      <c r="F88" s="13" t="inlineStr">
        <is>
          <t>system@tsip.ai</t>
        </is>
      </c>
      <c r="G88" s="13" t="inlineStr">
        <is>
          <t>2a63059e-b08b-495f-90df-23bb38eccd3f</t>
        </is>
      </c>
    </row>
    <row r="89">
      <c r="A89" s="13" t="inlineStr">
        <is>
          <t>2a63059e</t>
        </is>
      </c>
      <c r="B89" s="13" t="inlineStr">
        <is>
          <t>2026-09-01T15:49:19.278Z</t>
        </is>
      </c>
      <c r="C89" s="13" t="inlineStr">
        <is>
          <t>generating_outline</t>
        </is>
      </c>
      <c r="D89" s="13" t="inlineStr">
        <is>
          <t>decomp_review</t>
        </is>
      </c>
      <c r="E89" s="13" t="inlineStr">
        <is>
          <t>SUBMIT_TASK_OUTLINE</t>
        </is>
      </c>
      <c r="F89" s="13" t="inlineStr">
        <is>
          <t>system@tsip.ai</t>
        </is>
      </c>
      <c r="G89" s="13" t="inlineStr">
        <is>
          <t>2a63059e-b08b-495f-90df-23bb38eccd3f</t>
        </is>
      </c>
    </row>
    <row r="90">
      <c r="A90" s="13" t="inlineStr">
        <is>
          <t>2a63059e</t>
        </is>
      </c>
      <c r="B90" s="13" t="inlineStr">
        <is>
          <t>2026-09-01T21:57:05.63Z</t>
        </is>
      </c>
      <c r="C90" s="13" t="inlineStr">
        <is>
          <t>decomp_review</t>
        </is>
      </c>
      <c r="D90" s="13" t="inlineStr">
        <is>
          <t>generating_outline</t>
        </is>
      </c>
      <c r="E90" s="13" t="inlineStr">
        <is>
          <t>ADMIN_OVERRIDE</t>
        </is>
      </c>
      <c r="F90" s="13" t="inlineStr">
        <is>
          <t>ali@meridian.ai</t>
        </is>
      </c>
      <c r="G90" s="13" t="inlineStr">
        <is>
          <t>2a63059e-b08b-495f-90df-23bb38eccd3f</t>
        </is>
      </c>
    </row>
    <row r="91">
      <c r="A91" s="13" t="inlineStr">
        <is>
          <t>2a63059e</t>
        </is>
      </c>
      <c r="B91" s="13" t="inlineStr">
        <is>
          <t>2026-09-01T21:59:35.55Z</t>
        </is>
      </c>
      <c r="C91" s="13" t="inlineStr">
        <is>
          <t>generating_outline</t>
        </is>
      </c>
      <c r="D91" s="13" t="inlineStr">
        <is>
          <t>generating_outline</t>
        </is>
      </c>
      <c r="E91" s="13" t="inlineStr">
        <is>
          <t>FIELDS_WRITE</t>
        </is>
      </c>
      <c r="F91" s="13" t="inlineStr">
        <is>
          <t>system@tsip.ai</t>
        </is>
      </c>
      <c r="G91" s="13" t="inlineStr">
        <is>
          <t>2a63059e-b08b-495f-90df-23bb38eccd3f</t>
        </is>
      </c>
    </row>
    <row r="92">
      <c r="A92" s="13" t="inlineStr">
        <is>
          <t>2a63059e</t>
        </is>
      </c>
      <c r="B92" s="13" t="inlineStr">
        <is>
          <t>2026-09-01T21:59:36.49Z</t>
        </is>
      </c>
      <c r="C92" s="13" t="inlineStr">
        <is>
          <t>generating_outline</t>
        </is>
      </c>
      <c r="D92" s="13" t="inlineStr">
        <is>
          <t>decomp_review</t>
        </is>
      </c>
      <c r="E92" s="13" t="inlineStr">
        <is>
          <t>SUBMIT_TASK_OUTLINE</t>
        </is>
      </c>
      <c r="F92" s="13" t="inlineStr">
        <is>
          <t>system@tsip.ai</t>
        </is>
      </c>
      <c r="G92" s="13" t="inlineStr">
        <is>
          <t>2a63059e-b08b-495f-90df-23bb38eccd3f</t>
        </is>
      </c>
    </row>
    <row r="93">
      <c r="A93" s="13" t="inlineStr">
        <is>
          <t>337252e6</t>
        </is>
      </c>
      <c r="B93" s="13" t="inlineStr">
        <is>
          <t>2026-09-01T18:13:40.198Z</t>
        </is>
      </c>
      <c r="C93" s="13" t="inlineStr">
        <is>
          <t>NONE</t>
        </is>
      </c>
      <c r="D93" s="13" t="inlineStr">
        <is>
          <t>needs_decomp</t>
        </is>
      </c>
      <c r="E93" s="13" t="inlineStr">
        <is>
          <t>SPAWNED</t>
        </is>
      </c>
      <c r="F93" s="13" t="inlineStr">
        <is>
          <t>system@tsip.ai</t>
        </is>
      </c>
      <c r="G93" s="13" t="inlineStr">
        <is>
          <t>337252e6-80dc-4b36-b284-7b83b4e5617f</t>
        </is>
      </c>
    </row>
    <row r="94">
      <c r="A94" s="13" t="inlineStr">
        <is>
          <t>337252e6</t>
        </is>
      </c>
      <c r="B94" s="13" t="inlineStr">
        <is>
          <t>2026-09-01T18:17:06.182Z</t>
        </is>
      </c>
      <c r="C94" s="13" t="inlineStr">
        <is>
          <t>needs_decomp</t>
        </is>
      </c>
      <c r="D94" s="13" t="inlineStr">
        <is>
          <t>needs_decomp</t>
        </is>
      </c>
      <c r="E94" s="13" t="inlineStr">
        <is>
          <t>AUTO_POOL</t>
        </is>
      </c>
      <c r="F94" s="13" t="inlineStr">
        <is>
          <t>alec.tseung@toptal.com</t>
        </is>
      </c>
      <c r="G94" s="13" t="inlineStr">
        <is>
          <t>337252e6-80dc-4b36-b284-7b83b4e5617f</t>
        </is>
      </c>
    </row>
    <row r="95">
      <c r="A95" s="13" t="inlineStr">
        <is>
          <t>337252e6</t>
        </is>
      </c>
      <c r="B95" s="13" t="inlineStr">
        <is>
          <t>2026-09-01T18:17:06.263Z</t>
        </is>
      </c>
      <c r="C95" s="13" t="inlineStr">
        <is>
          <t>needs_decomp</t>
        </is>
      </c>
      <c r="D95" s="13" t="inlineStr">
        <is>
          <t>decomp_complexity_check</t>
        </is>
      </c>
      <c r="E95" s="13" t="inlineStr">
        <is>
          <t>SUBMIT_DECOMP</t>
        </is>
      </c>
      <c r="F95" s="13" t="inlineStr">
        <is>
          <t>alec.tseung@toptal.com</t>
        </is>
      </c>
      <c r="G95" s="13" t="inlineStr">
        <is>
          <t>337252e6-80dc-4b36-b284-7b83b4e5617f</t>
        </is>
      </c>
    </row>
    <row r="96">
      <c r="A96" s="13" t="inlineStr">
        <is>
          <t>337252e6</t>
        </is>
      </c>
      <c r="B96" s="13" t="inlineStr">
        <is>
          <t>2026-09-01T18:17:37.111Z</t>
        </is>
      </c>
      <c r="C96" s="13" t="inlineStr">
        <is>
          <t>decomp_complexity_check</t>
        </is>
      </c>
      <c r="D96" s="13" t="inlineStr">
        <is>
          <t>decomp_complexity_check</t>
        </is>
      </c>
      <c r="E96" s="13" t="inlineStr">
        <is>
          <t>FIELDS_WRITE</t>
        </is>
      </c>
      <c r="F96" s="13" t="inlineStr">
        <is>
          <t>system@tsip.ai</t>
        </is>
      </c>
      <c r="G96" s="13" t="inlineStr">
        <is>
          <t>337252e6-80dc-4b36-b284-7b83b4e5617f</t>
        </is>
      </c>
    </row>
    <row r="97">
      <c r="A97" s="13" t="inlineStr">
        <is>
          <t>337252e6</t>
        </is>
      </c>
      <c r="B97" s="13" t="inlineStr">
        <is>
          <t>2026-09-01T18:17:38.327Z</t>
        </is>
      </c>
      <c r="C97" s="13" t="inlineStr">
        <is>
          <t>decomp_complexity_check</t>
        </is>
      </c>
      <c r="D97" s="13" t="inlineStr">
        <is>
          <t>generating_outline</t>
        </is>
      </c>
      <c r="E97" s="13" t="inlineStr">
        <is>
          <t>COMPLEXITY_CHECK_DONE</t>
        </is>
      </c>
      <c r="F97" s="13" t="inlineStr">
        <is>
          <t>system@tsip.ai</t>
        </is>
      </c>
      <c r="G97" s="13" t="inlineStr">
        <is>
          <t>337252e6-80dc-4b36-b284-7b83b4e5617f</t>
        </is>
      </c>
    </row>
    <row r="98">
      <c r="A98" s="13" t="inlineStr">
        <is>
          <t>337252e6</t>
        </is>
      </c>
      <c r="B98" s="13" t="inlineStr">
        <is>
          <t>2026-09-01T18:24:43.503Z</t>
        </is>
      </c>
      <c r="C98" s="13" t="inlineStr">
        <is>
          <t>generating_outline</t>
        </is>
      </c>
      <c r="D98" s="13" t="inlineStr">
        <is>
          <t>decomp_review</t>
        </is>
      </c>
      <c r="E98" s="13" t="inlineStr">
        <is>
          <t>SUBMIT_TASK_OUTLINE</t>
        </is>
      </c>
      <c r="F98" s="13" t="inlineStr">
        <is>
          <t>system@tsip.ai</t>
        </is>
      </c>
      <c r="G98" s="13" t="inlineStr">
        <is>
          <t>337252e6-80dc-4b36-b284-7b83b4e5617f</t>
        </is>
      </c>
    </row>
    <row r="99">
      <c r="A99" s="13" t="inlineStr">
        <is>
          <t>337252e6</t>
        </is>
      </c>
      <c r="B99" s="13" t="inlineStr">
        <is>
          <t>2026-09-01T21:57:06.288Z</t>
        </is>
      </c>
      <c r="C99" s="13" t="inlineStr">
        <is>
          <t>decomp_review</t>
        </is>
      </c>
      <c r="D99" s="13" t="inlineStr">
        <is>
          <t>generating_outline</t>
        </is>
      </c>
      <c r="E99" s="13" t="inlineStr">
        <is>
          <t>ADMIN_OVERRIDE</t>
        </is>
      </c>
      <c r="F99" s="13" t="inlineStr">
        <is>
          <t>ali@meridian.ai</t>
        </is>
      </c>
      <c r="G99" s="13" t="inlineStr">
        <is>
          <t>337252e6-80dc-4b36-b284-7b83b4e5617f</t>
        </is>
      </c>
    </row>
    <row r="100">
      <c r="A100" s="13" t="inlineStr">
        <is>
          <t>337252e6</t>
        </is>
      </c>
      <c r="B100" s="13" t="inlineStr">
        <is>
          <t>2026-09-01T22:12:39.603Z</t>
        </is>
      </c>
      <c r="C100" s="13" t="inlineStr">
        <is>
          <t>generating_outline</t>
        </is>
      </c>
      <c r="D100" s="13" t="inlineStr">
        <is>
          <t>decomp_review</t>
        </is>
      </c>
      <c r="E100" s="13" t="inlineStr">
        <is>
          <t>SUBMIT_TASK_OUTLINE</t>
        </is>
      </c>
      <c r="F100" s="13" t="inlineStr">
        <is>
          <t>system@tsip.ai</t>
        </is>
      </c>
      <c r="G100" s="13" t="inlineStr">
        <is>
          <t>337252e6-80dc-4b36-b284-7b83b4e5617f</t>
        </is>
      </c>
    </row>
    <row r="101">
      <c r="A101" s="13" t="inlineStr">
        <is>
          <t>3d3b229e</t>
        </is>
      </c>
      <c r="B101" s="13" t="inlineStr">
        <is>
          <t>2026-09-01T18:27:00.01Z</t>
        </is>
      </c>
      <c r="C101" s="13" t="inlineStr">
        <is>
          <t>NONE</t>
        </is>
      </c>
      <c r="D101" s="13" t="inlineStr">
        <is>
          <t>needs_decomp</t>
        </is>
      </c>
      <c r="E101" s="13" t="inlineStr">
        <is>
          <t>SPAWNED</t>
        </is>
      </c>
      <c r="F101" s="13" t="inlineStr">
        <is>
          <t>system@tsip.ai</t>
        </is>
      </c>
      <c r="G101" s="13" t="inlineStr">
        <is>
          <t>3d3b229e-0507-4539-8343-193a679d5f5c</t>
        </is>
      </c>
    </row>
    <row r="102">
      <c r="A102" s="13" t="inlineStr">
        <is>
          <t>3d3b229e</t>
        </is>
      </c>
      <c r="B102" s="13" t="inlineStr">
        <is>
          <t>2026-09-01T18:31:52.604Z</t>
        </is>
      </c>
      <c r="C102" s="13" t="inlineStr">
        <is>
          <t>needs_decomp</t>
        </is>
      </c>
      <c r="D102" s="13" t="inlineStr">
        <is>
          <t>needs_decomp</t>
        </is>
      </c>
      <c r="E102" s="13" t="inlineStr">
        <is>
          <t>AUTO_POOL</t>
        </is>
      </c>
      <c r="F102" s="13" t="inlineStr">
        <is>
          <t>alec.tseung@toptal.com</t>
        </is>
      </c>
      <c r="G102" s="13" t="inlineStr">
        <is>
          <t>3d3b229e-0507-4539-8343-193a679d5f5c</t>
        </is>
      </c>
    </row>
    <row r="103">
      <c r="A103" s="13" t="inlineStr">
        <is>
          <t>3d3b229e</t>
        </is>
      </c>
      <c r="B103" s="13" t="inlineStr">
        <is>
          <t>2026-09-01T18:31:52.653Z</t>
        </is>
      </c>
      <c r="C103" s="13" t="inlineStr">
        <is>
          <t>needs_decomp</t>
        </is>
      </c>
      <c r="D103" s="13" t="inlineStr">
        <is>
          <t>decomp_complexity_check</t>
        </is>
      </c>
      <c r="E103" s="13" t="inlineStr">
        <is>
          <t>SUBMIT_DECOMP</t>
        </is>
      </c>
      <c r="F103" s="13" t="inlineStr">
        <is>
          <t>alec.tseung@toptal.com</t>
        </is>
      </c>
      <c r="G103" s="13" t="inlineStr">
        <is>
          <t>3d3b229e-0507-4539-8343-193a679d5f5c</t>
        </is>
      </c>
    </row>
    <row r="104">
      <c r="A104" s="13" t="inlineStr">
        <is>
          <t>3d3b229e</t>
        </is>
      </c>
      <c r="B104" s="13" t="inlineStr">
        <is>
          <t>2026-09-01T18:32:18.231Z</t>
        </is>
      </c>
      <c r="C104" s="13" t="inlineStr">
        <is>
          <t>decomp_complexity_check</t>
        </is>
      </c>
      <c r="D104" s="13" t="inlineStr">
        <is>
          <t>decomp_complexity_check</t>
        </is>
      </c>
      <c r="E104" s="13" t="inlineStr">
        <is>
          <t>FIELDS_WRITE</t>
        </is>
      </c>
      <c r="F104" s="13" t="inlineStr">
        <is>
          <t>system@tsip.ai</t>
        </is>
      </c>
      <c r="G104" s="13" t="inlineStr">
        <is>
          <t>3d3b229e-0507-4539-8343-193a679d5f5c</t>
        </is>
      </c>
    </row>
    <row r="105">
      <c r="A105" s="13" t="inlineStr">
        <is>
          <t>3d3b229e</t>
        </is>
      </c>
      <c r="B105" s="13" t="inlineStr">
        <is>
          <t>2026-09-01T18:32:19.448Z</t>
        </is>
      </c>
      <c r="C105" s="13" t="inlineStr">
        <is>
          <t>decomp_complexity_check</t>
        </is>
      </c>
      <c r="D105" s="13" t="inlineStr">
        <is>
          <t>generating_outline</t>
        </is>
      </c>
      <c r="E105" s="13" t="inlineStr">
        <is>
          <t>COMPLEXITY_CHECK_DONE</t>
        </is>
      </c>
      <c r="F105" s="13" t="inlineStr">
        <is>
          <t>system@tsip.ai</t>
        </is>
      </c>
      <c r="G105" s="13" t="inlineStr">
        <is>
          <t>3d3b229e-0507-4539-8343-193a679d5f5c</t>
        </is>
      </c>
    </row>
    <row r="106">
      <c r="A106" s="13" t="inlineStr">
        <is>
          <t>3d3b229e</t>
        </is>
      </c>
      <c r="B106" s="13" t="inlineStr">
        <is>
          <t>2026-09-01T18:48:17.64Z</t>
        </is>
      </c>
      <c r="C106" s="13" t="inlineStr">
        <is>
          <t>generating_outline</t>
        </is>
      </c>
      <c r="D106" s="13" t="inlineStr">
        <is>
          <t>decomp_review</t>
        </is>
      </c>
      <c r="E106" s="13" t="inlineStr">
        <is>
          <t>SUBMIT_TASK_OUTLINE</t>
        </is>
      </c>
      <c r="F106" s="13" t="inlineStr">
        <is>
          <t>system@tsip.ai</t>
        </is>
      </c>
      <c r="G106" s="13" t="inlineStr">
        <is>
          <t>3d3b229e-0507-4539-8343-193a679d5f5c</t>
        </is>
      </c>
    </row>
    <row r="107">
      <c r="A107" s="13" t="inlineStr">
        <is>
          <t>3d3b229e</t>
        </is>
      </c>
      <c r="B107" s="13" t="inlineStr">
        <is>
          <t>2026-09-01T21:57:06.691Z</t>
        </is>
      </c>
      <c r="C107" s="13" t="inlineStr">
        <is>
          <t>decomp_review</t>
        </is>
      </c>
      <c r="D107" s="13" t="inlineStr">
        <is>
          <t>generating_outline</t>
        </is>
      </c>
      <c r="E107" s="13" t="inlineStr">
        <is>
          <t>ADMIN_OVERRIDE</t>
        </is>
      </c>
      <c r="F107" s="13" t="inlineStr">
        <is>
          <t>ali@meridian.ai</t>
        </is>
      </c>
      <c r="G107" s="13" t="inlineStr">
        <is>
          <t>3d3b229e-0507-4539-8343-193a679d5f5c</t>
        </is>
      </c>
    </row>
    <row r="108">
      <c r="A108" s="13" t="inlineStr">
        <is>
          <t>3d3b229e</t>
        </is>
      </c>
      <c r="B108" s="13" t="inlineStr">
        <is>
          <t>2026-09-01T22:01:23.334Z</t>
        </is>
      </c>
      <c r="C108" s="13" t="inlineStr">
        <is>
          <t>generating_outline</t>
        </is>
      </c>
      <c r="D108" s="13" t="inlineStr">
        <is>
          <t>decomp_review</t>
        </is>
      </c>
      <c r="E108" s="13" t="inlineStr">
        <is>
          <t>SUBMIT_TASK_OUTLINE</t>
        </is>
      </c>
      <c r="F108" s="13" t="inlineStr">
        <is>
          <t>system@tsip.ai</t>
        </is>
      </c>
      <c r="G108" s="13" t="inlineStr">
        <is>
          <t>3d3b229e-0507-4539-8343-193a679d5f5c</t>
        </is>
      </c>
    </row>
    <row r="109">
      <c r="A109" s="13" t="inlineStr">
        <is>
          <t>3d458c2a</t>
        </is>
      </c>
      <c r="B109" s="13" t="inlineStr">
        <is>
          <t>2026-08-31T13:35:13.436Z</t>
        </is>
      </c>
      <c r="C109" s="13" t="inlineStr">
        <is>
          <t>NONE</t>
        </is>
      </c>
      <c r="D109" s="13" t="inlineStr">
        <is>
          <t>needs_decomp</t>
        </is>
      </c>
      <c r="E109" s="13" t="inlineStr">
        <is>
          <t>CLONED</t>
        </is>
      </c>
      <c r="F109" s="13" t="inlineStr">
        <is>
          <t>system@tsip.ai</t>
        </is>
      </c>
      <c r="G109" s="13" t="inlineStr">
        <is>
          <t>3d458c2a-cfe5-4a22-9f35-1c48780f5a38</t>
        </is>
      </c>
    </row>
    <row r="110">
      <c r="A110" s="13" t="inlineStr">
        <is>
          <t>3d458c2a</t>
        </is>
      </c>
      <c r="B110" s="13" t="inlineStr">
        <is>
          <t>2026-08-31T13:35:22.705Z</t>
        </is>
      </c>
      <c r="C110" s="13" t="inlineStr">
        <is>
          <t>needs_decomp</t>
        </is>
      </c>
      <c r="D110" s="13" t="inlineStr">
        <is>
          <t>needs_decomp</t>
        </is>
      </c>
      <c r="E110" s="13" t="inlineStr">
        <is>
          <t>POOL_CLAIM</t>
        </is>
      </c>
      <c r="F110" s="13" t="inlineStr">
        <is>
          <t>apathy@uchicago.edu</t>
        </is>
      </c>
      <c r="G110" s="13" t="inlineStr">
        <is>
          <t>3d458c2a-cfe5-4a22-9f35-1c48780f5a38</t>
        </is>
      </c>
    </row>
    <row r="111">
      <c r="A111" s="13" t="inlineStr">
        <is>
          <t>3d458c2a</t>
        </is>
      </c>
      <c r="B111" s="13" t="inlineStr">
        <is>
          <t>2026-09-01T14:56:33.344Z</t>
        </is>
      </c>
      <c r="C111" s="13" t="inlineStr">
        <is>
          <t>needs_decomp</t>
        </is>
      </c>
      <c r="D111" s="13" t="inlineStr">
        <is>
          <t>needs_decomp</t>
        </is>
      </c>
      <c r="E111" s="13" t="inlineStr">
        <is>
          <t>AUTO_POOL</t>
        </is>
      </c>
      <c r="F111" s="13" t="inlineStr">
        <is>
          <t>apathy@uchicago.edu</t>
        </is>
      </c>
      <c r="G111" s="13" t="inlineStr">
        <is>
          <t>3d458c2a-cfe5-4a22-9f35-1c48780f5a38</t>
        </is>
      </c>
    </row>
    <row r="112">
      <c r="A112" s="13" t="inlineStr">
        <is>
          <t>3d458c2a</t>
        </is>
      </c>
      <c r="B112" s="13" t="inlineStr">
        <is>
          <t>2026-09-01T14:56:33.448Z</t>
        </is>
      </c>
      <c r="C112" s="13" t="inlineStr">
        <is>
          <t>needs_decomp</t>
        </is>
      </c>
      <c r="D112" s="13" t="inlineStr">
        <is>
          <t>decomp_complexity_check</t>
        </is>
      </c>
      <c r="E112" s="13" t="inlineStr">
        <is>
          <t>SUBMIT_DECOMP</t>
        </is>
      </c>
      <c r="F112" s="13" t="inlineStr">
        <is>
          <t>apathy@uchicago.edu</t>
        </is>
      </c>
      <c r="G112" s="13" t="inlineStr">
        <is>
          <t>3d458c2a-cfe5-4a22-9f35-1c48780f5a38</t>
        </is>
      </c>
    </row>
    <row r="113">
      <c r="A113" s="13" t="inlineStr">
        <is>
          <t>3d458c2a</t>
        </is>
      </c>
      <c r="B113" s="13" t="inlineStr">
        <is>
          <t>2026-09-01T14:56:42.188Z</t>
        </is>
      </c>
      <c r="C113" s="13" t="inlineStr">
        <is>
          <t>decomp_complexity_check</t>
        </is>
      </c>
      <c r="D113" s="13" t="inlineStr">
        <is>
          <t>decomp_complexity_check</t>
        </is>
      </c>
      <c r="E113" s="13" t="inlineStr">
        <is>
          <t>FIELDS_WRITE</t>
        </is>
      </c>
      <c r="F113" s="13" t="inlineStr">
        <is>
          <t>system@tsip.ai</t>
        </is>
      </c>
      <c r="G113" s="13" t="inlineStr">
        <is>
          <t>3d458c2a-cfe5-4a22-9f35-1c48780f5a38</t>
        </is>
      </c>
    </row>
    <row r="114">
      <c r="A114" s="13" t="inlineStr">
        <is>
          <t>3d458c2a</t>
        </is>
      </c>
      <c r="B114" s="13" t="inlineStr">
        <is>
          <t>2026-09-01T14:56:43.051Z</t>
        </is>
      </c>
      <c r="C114" s="13" t="inlineStr">
        <is>
          <t>decomp_complexity_check</t>
        </is>
      </c>
      <c r="D114" s="13" t="inlineStr">
        <is>
          <t>generating_outline</t>
        </is>
      </c>
      <c r="E114" s="13" t="inlineStr">
        <is>
          <t>COMPLEXITY_CHECK_DONE</t>
        </is>
      </c>
      <c r="F114" s="13" t="inlineStr">
        <is>
          <t>system@tsip.ai</t>
        </is>
      </c>
      <c r="G114" s="13" t="inlineStr">
        <is>
          <t>3d458c2a-cfe5-4a22-9f35-1c48780f5a38</t>
        </is>
      </c>
    </row>
    <row r="115">
      <c r="A115" s="13" t="inlineStr">
        <is>
          <t>3d458c2a</t>
        </is>
      </c>
      <c r="B115" s="13" t="inlineStr">
        <is>
          <t>2026-09-01T14:57:47.884Z</t>
        </is>
      </c>
      <c r="C115" s="13" t="inlineStr">
        <is>
          <t>generating_outline</t>
        </is>
      </c>
      <c r="D115" s="13" t="inlineStr">
        <is>
          <t>decomp_review</t>
        </is>
      </c>
      <c r="E115" s="13" t="inlineStr">
        <is>
          <t>SUBMIT_TASK_OUTLINE</t>
        </is>
      </c>
      <c r="F115" s="13" t="inlineStr">
        <is>
          <t>system@tsip.ai</t>
        </is>
      </c>
      <c r="G115" s="13" t="inlineStr">
        <is>
          <t>3d458c2a-cfe5-4a22-9f35-1c48780f5a38</t>
        </is>
      </c>
    </row>
    <row r="116">
      <c r="A116" s="13" t="inlineStr">
        <is>
          <t>3d458c2a</t>
        </is>
      </c>
      <c r="B116" s="13" t="inlineStr">
        <is>
          <t>2026-09-01T21:57:07.105Z</t>
        </is>
      </c>
      <c r="C116" s="13" t="inlineStr">
        <is>
          <t>decomp_review</t>
        </is>
      </c>
      <c r="D116" s="13" t="inlineStr">
        <is>
          <t>generating_outline</t>
        </is>
      </c>
      <c r="E116" s="13" t="inlineStr">
        <is>
          <t>ADMIN_OVERRIDE</t>
        </is>
      </c>
      <c r="F116" s="13" t="inlineStr">
        <is>
          <t>ali@meridian.ai</t>
        </is>
      </c>
      <c r="G116" s="13" t="inlineStr">
        <is>
          <t>3d458c2a-cfe5-4a22-9f35-1c48780f5a38</t>
        </is>
      </c>
    </row>
    <row r="117">
      <c r="A117" s="13" t="inlineStr">
        <is>
          <t>3d458c2a</t>
        </is>
      </c>
      <c r="B117" s="13" t="inlineStr">
        <is>
          <t>2026-09-01T21:59:15.137Z</t>
        </is>
      </c>
      <c r="C117" s="13" t="inlineStr">
        <is>
          <t>generating_outline</t>
        </is>
      </c>
      <c r="D117" s="13" t="inlineStr">
        <is>
          <t>generating_outline</t>
        </is>
      </c>
      <c r="E117" s="13" t="inlineStr">
        <is>
          <t>FIELDS_WRITE</t>
        </is>
      </c>
      <c r="F117" s="13" t="inlineStr">
        <is>
          <t>system@tsip.ai</t>
        </is>
      </c>
      <c r="G117" s="13" t="inlineStr">
        <is>
          <t>3d458c2a-cfe5-4a22-9f35-1c48780f5a38</t>
        </is>
      </c>
    </row>
    <row r="118">
      <c r="A118" s="13" t="inlineStr">
        <is>
          <t>3d458c2a</t>
        </is>
      </c>
      <c r="B118" s="13" t="inlineStr">
        <is>
          <t>2026-09-01T21:59:16.173Z</t>
        </is>
      </c>
      <c r="C118" s="13" t="inlineStr">
        <is>
          <t>generating_outline</t>
        </is>
      </c>
      <c r="D118" s="13" t="inlineStr">
        <is>
          <t>decomp_review</t>
        </is>
      </c>
      <c r="E118" s="13" t="inlineStr">
        <is>
          <t>SUBMIT_TASK_OUTLINE</t>
        </is>
      </c>
      <c r="F118" s="13" t="inlineStr">
        <is>
          <t>system@tsip.ai</t>
        </is>
      </c>
      <c r="G118" s="13" t="inlineStr">
        <is>
          <t>3d458c2a-cfe5-4a22-9f35-1c48780f5a38</t>
        </is>
      </c>
    </row>
    <row r="119">
      <c r="A119" s="13" t="inlineStr">
        <is>
          <t>4073b29f</t>
        </is>
      </c>
      <c r="B119" s="13" t="inlineStr">
        <is>
          <t>2026-08-31T15:53:28.573Z</t>
        </is>
      </c>
      <c r="C119" s="13" t="inlineStr">
        <is>
          <t>NONE</t>
        </is>
      </c>
      <c r="D119" s="13" t="inlineStr">
        <is>
          <t>needs_decomp</t>
        </is>
      </c>
      <c r="E119" s="13" t="inlineStr">
        <is>
          <t>CLONED</t>
        </is>
      </c>
      <c r="F119" s="13" t="inlineStr">
        <is>
          <t>system@tsip.ai</t>
        </is>
      </c>
      <c r="G119" s="13" t="inlineStr">
        <is>
          <t>4073b29f-25e1-4432-8bf5-0b7c4be497db</t>
        </is>
      </c>
    </row>
    <row r="120">
      <c r="A120" s="13" t="inlineStr">
        <is>
          <t>4073b29f</t>
        </is>
      </c>
      <c r="B120" s="13" t="inlineStr">
        <is>
          <t>2026-08-31T15:53:45.544Z</t>
        </is>
      </c>
      <c r="C120" s="13" t="inlineStr">
        <is>
          <t>needs_decomp</t>
        </is>
      </c>
      <c r="D120" s="13" t="inlineStr">
        <is>
          <t>needs_decomp</t>
        </is>
      </c>
      <c r="E120" s="13" t="inlineStr">
        <is>
          <t>POOL_CLAIM</t>
        </is>
      </c>
      <c r="F120" s="13" t="inlineStr">
        <is>
          <t>nimisha.mekala2021@gmail.com</t>
        </is>
      </c>
      <c r="G120" s="13" t="inlineStr">
        <is>
          <t>4073b29f-25e1-4432-8bf5-0b7c4be497db</t>
        </is>
      </c>
    </row>
    <row r="121">
      <c r="A121" s="13" t="inlineStr">
        <is>
          <t>4073b29f</t>
        </is>
      </c>
      <c r="B121" s="13" t="inlineStr">
        <is>
          <t>2026-08-31T16:45:06.396Z</t>
        </is>
      </c>
      <c r="C121" s="13" t="inlineStr">
        <is>
          <t>needs_decomp</t>
        </is>
      </c>
      <c r="D121" s="13" t="inlineStr">
        <is>
          <t>needs_decomp</t>
        </is>
      </c>
      <c r="E121" s="13" t="inlineStr">
        <is>
          <t>AUTO_POOL</t>
        </is>
      </c>
      <c r="F121" s="13" t="inlineStr">
        <is>
          <t>nimisha.mekala2021@gmail.com</t>
        </is>
      </c>
      <c r="G121" s="13" t="inlineStr">
        <is>
          <t>4073b29f-25e1-4432-8bf5-0b7c4be497db</t>
        </is>
      </c>
    </row>
    <row r="122">
      <c r="A122" s="13" t="inlineStr">
        <is>
          <t>4073b29f</t>
        </is>
      </c>
      <c r="B122" s="13" t="inlineStr">
        <is>
          <t>2026-08-31T16:45:06.433Z</t>
        </is>
      </c>
      <c r="C122" s="13" t="inlineStr">
        <is>
          <t>needs_decomp</t>
        </is>
      </c>
      <c r="D122" s="13" t="inlineStr">
        <is>
          <t>decomp_complexity_check</t>
        </is>
      </c>
      <c r="E122" s="13" t="inlineStr">
        <is>
          <t>SUBMIT_DECOMP</t>
        </is>
      </c>
      <c r="F122" s="13" t="inlineStr">
        <is>
          <t>nimisha.mekala2021@gmail.com</t>
        </is>
      </c>
      <c r="G122" s="13" t="inlineStr">
        <is>
          <t>4073b29f-25e1-4432-8bf5-0b7c4be497db</t>
        </is>
      </c>
    </row>
    <row r="123">
      <c r="A123" s="13" t="inlineStr">
        <is>
          <t>4073b29f</t>
        </is>
      </c>
      <c r="B123" s="13" t="inlineStr">
        <is>
          <t>2026-08-31T16:45:13.183Z</t>
        </is>
      </c>
      <c r="C123" s="13" t="inlineStr">
        <is>
          <t>decomp_complexity_check</t>
        </is>
      </c>
      <c r="D123" s="13" t="inlineStr">
        <is>
          <t>decomp_complexity_check</t>
        </is>
      </c>
      <c r="E123" s="13" t="inlineStr">
        <is>
          <t>FIELDS_WRITE</t>
        </is>
      </c>
      <c r="F123" s="13" t="inlineStr">
        <is>
          <t>system@tsip.ai</t>
        </is>
      </c>
      <c r="G123" s="13" t="inlineStr">
        <is>
          <t>4073b29f-25e1-4432-8bf5-0b7c4be497db</t>
        </is>
      </c>
    </row>
    <row r="124">
      <c r="A124" s="13" t="inlineStr">
        <is>
          <t>4073b29f</t>
        </is>
      </c>
      <c r="B124" s="13" t="inlineStr">
        <is>
          <t>2026-08-31T16:45:14.316Z</t>
        </is>
      </c>
      <c r="C124" s="13" t="inlineStr">
        <is>
          <t>decomp_complexity_check</t>
        </is>
      </c>
      <c r="D124" s="13" t="inlineStr">
        <is>
          <t>generating_outline</t>
        </is>
      </c>
      <c r="E124" s="13" t="inlineStr">
        <is>
          <t>COMPLEXITY_CHECK_DONE</t>
        </is>
      </c>
      <c r="F124" s="13" t="inlineStr">
        <is>
          <t>system@tsip.ai</t>
        </is>
      </c>
      <c r="G124" s="13" t="inlineStr">
        <is>
          <t>4073b29f-25e1-4432-8bf5-0b7c4be497db</t>
        </is>
      </c>
    </row>
    <row r="125">
      <c r="A125" s="13" t="inlineStr">
        <is>
          <t>4073b29f</t>
        </is>
      </c>
      <c r="B125" s="13" t="inlineStr">
        <is>
          <t>2026-08-31T16:46:14.343Z</t>
        </is>
      </c>
      <c r="C125" s="13" t="inlineStr">
        <is>
          <t>generating_outline</t>
        </is>
      </c>
      <c r="D125" s="13" t="inlineStr">
        <is>
          <t>decomp_review</t>
        </is>
      </c>
      <c r="E125" s="13" t="inlineStr">
        <is>
          <t>SUBMIT_TASK_OUTLINE</t>
        </is>
      </c>
      <c r="F125" s="13" t="inlineStr">
        <is>
          <t>system@tsip.ai</t>
        </is>
      </c>
      <c r="G125" s="13" t="inlineStr">
        <is>
          <t>4073b29f-25e1-4432-8bf5-0b7c4be497db</t>
        </is>
      </c>
    </row>
    <row r="126">
      <c r="A126" s="13" t="inlineStr">
        <is>
          <t>4073b29f</t>
        </is>
      </c>
      <c r="B126" s="13" t="inlineStr">
        <is>
          <t>2026-09-01T21:57:08.06Z</t>
        </is>
      </c>
      <c r="C126" s="13" t="inlineStr">
        <is>
          <t>decomp_review</t>
        </is>
      </c>
      <c r="D126" s="13" t="inlineStr">
        <is>
          <t>generating_outline</t>
        </is>
      </c>
      <c r="E126" s="13" t="inlineStr">
        <is>
          <t>ADMIN_OVERRIDE</t>
        </is>
      </c>
      <c r="F126" s="13" t="inlineStr">
        <is>
          <t>ali@meridian.ai</t>
        </is>
      </c>
      <c r="G126" s="13" t="inlineStr">
        <is>
          <t>4073b29f-25e1-4432-8bf5-0b7c4be497db</t>
        </is>
      </c>
    </row>
    <row r="127">
      <c r="A127" s="13" t="inlineStr">
        <is>
          <t>4073b29f</t>
        </is>
      </c>
      <c r="B127" s="13" t="inlineStr">
        <is>
          <t>2026-09-01T22:01:21.191Z</t>
        </is>
      </c>
      <c r="C127" s="13" t="inlineStr">
        <is>
          <t>generating_outline</t>
        </is>
      </c>
      <c r="D127" s="13" t="inlineStr">
        <is>
          <t>generating_outline</t>
        </is>
      </c>
      <c r="E127" s="13" t="inlineStr">
        <is>
          <t>FIELDS_WRITE</t>
        </is>
      </c>
      <c r="F127" s="13" t="inlineStr">
        <is>
          <t>system@tsip.ai</t>
        </is>
      </c>
      <c r="G127" s="13" t="inlineStr">
        <is>
          <t>4073b29f-25e1-4432-8bf5-0b7c4be497db</t>
        </is>
      </c>
    </row>
    <row r="128">
      <c r="A128" s="13" t="inlineStr">
        <is>
          <t>4073b29f</t>
        </is>
      </c>
      <c r="B128" s="13" t="inlineStr">
        <is>
          <t>2026-09-01T22:01:22.58Z</t>
        </is>
      </c>
      <c r="C128" s="13" t="inlineStr">
        <is>
          <t>generating_outline</t>
        </is>
      </c>
      <c r="D128" s="13" t="inlineStr">
        <is>
          <t>decomp_review</t>
        </is>
      </c>
      <c r="E128" s="13" t="inlineStr">
        <is>
          <t>SUBMIT_TASK_OUTLINE</t>
        </is>
      </c>
      <c r="F128" s="13" t="inlineStr">
        <is>
          <t>system@tsip.ai</t>
        </is>
      </c>
      <c r="G128" s="13" t="inlineStr">
        <is>
          <t>4073b29f-25e1-4432-8bf5-0b7c4be497db</t>
        </is>
      </c>
    </row>
    <row r="129">
      <c r="A129" s="13" t="inlineStr">
        <is>
          <t>40827f51</t>
        </is>
      </c>
      <c r="B129" s="13" t="inlineStr">
        <is>
          <t>2026-09-01T14:30:32.808Z</t>
        </is>
      </c>
      <c r="C129" s="13" t="inlineStr">
        <is>
          <t>NONE</t>
        </is>
      </c>
      <c r="D129" s="13" t="inlineStr">
        <is>
          <t>needs_decomp</t>
        </is>
      </c>
      <c r="E129" s="13" t="inlineStr">
        <is>
          <t>SPAWNED</t>
        </is>
      </c>
      <c r="F129" s="13" t="inlineStr">
        <is>
          <t>system@tsip.ai</t>
        </is>
      </c>
      <c r="G129" s="13" t="inlineStr">
        <is>
          <t>40827f51-9058-4a34-aa53-cffedf1af118</t>
        </is>
      </c>
    </row>
    <row r="130">
      <c r="A130" s="13" t="inlineStr">
        <is>
          <t>40827f51</t>
        </is>
      </c>
      <c r="B130" s="13" t="inlineStr">
        <is>
          <t>2026-09-01T14:36:31.498Z</t>
        </is>
      </c>
      <c r="C130" s="13" t="inlineStr">
        <is>
          <t>needs_decomp</t>
        </is>
      </c>
      <c r="D130" s="13" t="inlineStr">
        <is>
          <t>needs_decomp</t>
        </is>
      </c>
      <c r="E130" s="13" t="inlineStr">
        <is>
          <t>AUTO_POOL</t>
        </is>
      </c>
      <c r="F130" s="13" t="inlineStr">
        <is>
          <t>apathy@uchicago.edu</t>
        </is>
      </c>
      <c r="G130" s="13" t="inlineStr">
        <is>
          <t>40827f51-9058-4a34-aa53-cffedf1af118</t>
        </is>
      </c>
    </row>
    <row r="131">
      <c r="A131" s="13" t="inlineStr">
        <is>
          <t>40827f51</t>
        </is>
      </c>
      <c r="B131" s="13" t="inlineStr">
        <is>
          <t>2026-09-01T14:36:31.576Z</t>
        </is>
      </c>
      <c r="C131" s="13" t="inlineStr">
        <is>
          <t>needs_decomp</t>
        </is>
      </c>
      <c r="D131" s="13" t="inlineStr">
        <is>
          <t>decomp_complexity_check</t>
        </is>
      </c>
      <c r="E131" s="13" t="inlineStr">
        <is>
          <t>SUBMIT_DECOMP</t>
        </is>
      </c>
      <c r="F131" s="13" t="inlineStr">
        <is>
          <t>apathy@uchicago.edu</t>
        </is>
      </c>
      <c r="G131" s="13" t="inlineStr">
        <is>
          <t>40827f51-9058-4a34-aa53-cffedf1af118</t>
        </is>
      </c>
    </row>
    <row r="132">
      <c r="A132" s="13" t="inlineStr">
        <is>
          <t>40827f51</t>
        </is>
      </c>
      <c r="B132" s="13" t="inlineStr">
        <is>
          <t>2026-09-01T14:36:38.695Z</t>
        </is>
      </c>
      <c r="C132" s="13" t="inlineStr">
        <is>
          <t>decomp_complexity_check</t>
        </is>
      </c>
      <c r="D132" s="13" t="inlineStr">
        <is>
          <t>decomp_complexity_check</t>
        </is>
      </c>
      <c r="E132" s="13" t="inlineStr">
        <is>
          <t>FIELDS_WRITE</t>
        </is>
      </c>
      <c r="F132" s="13" t="inlineStr">
        <is>
          <t>system@tsip.ai</t>
        </is>
      </c>
      <c r="G132" s="13" t="inlineStr">
        <is>
          <t>40827f51-9058-4a34-aa53-cffedf1af118</t>
        </is>
      </c>
    </row>
    <row r="133">
      <c r="A133" s="13" t="inlineStr">
        <is>
          <t>40827f51</t>
        </is>
      </c>
      <c r="B133" s="13" t="inlineStr">
        <is>
          <t>2026-09-01T14:36:39.412Z</t>
        </is>
      </c>
      <c r="C133" s="13" t="inlineStr">
        <is>
          <t>decomp_complexity_check</t>
        </is>
      </c>
      <c r="D133" s="13" t="inlineStr">
        <is>
          <t>generating_outline</t>
        </is>
      </c>
      <c r="E133" s="13" t="inlineStr">
        <is>
          <t>COMPLEXITY_CHECK_DONE</t>
        </is>
      </c>
      <c r="F133" s="13" t="inlineStr">
        <is>
          <t>system@tsip.ai</t>
        </is>
      </c>
      <c r="G133" s="13" t="inlineStr">
        <is>
          <t>40827f51-9058-4a34-aa53-cffedf1af118</t>
        </is>
      </c>
    </row>
    <row r="134">
      <c r="A134" s="13" t="inlineStr">
        <is>
          <t>40827f51</t>
        </is>
      </c>
      <c r="B134" s="13" t="inlineStr">
        <is>
          <t>2026-09-01T14:37:45.63Z</t>
        </is>
      </c>
      <c r="C134" s="13" t="inlineStr">
        <is>
          <t>generating_outline</t>
        </is>
      </c>
      <c r="D134" s="13" t="inlineStr">
        <is>
          <t>generating_outline</t>
        </is>
      </c>
      <c r="E134" s="13" t="inlineStr">
        <is>
          <t>FIELDS_WRITE</t>
        </is>
      </c>
      <c r="F134" s="13" t="inlineStr">
        <is>
          <t>system@tsip.ai</t>
        </is>
      </c>
      <c r="G134" s="13" t="inlineStr">
        <is>
          <t>40827f51-9058-4a34-aa53-cffedf1af118</t>
        </is>
      </c>
    </row>
    <row r="135">
      <c r="A135" s="13" t="inlineStr">
        <is>
          <t>40827f51</t>
        </is>
      </c>
      <c r="B135" s="13" t="inlineStr">
        <is>
          <t>2026-09-01T14:37:46.667Z</t>
        </is>
      </c>
      <c r="C135" s="13" t="inlineStr">
        <is>
          <t>generating_outline</t>
        </is>
      </c>
      <c r="D135" s="13" t="inlineStr">
        <is>
          <t>decomp_review</t>
        </is>
      </c>
      <c r="E135" s="13" t="inlineStr">
        <is>
          <t>SUBMIT_TASK_OUTLINE</t>
        </is>
      </c>
      <c r="F135" s="13" t="inlineStr">
        <is>
          <t>system@tsip.ai</t>
        </is>
      </c>
      <c r="G135" s="13" t="inlineStr">
        <is>
          <t>40827f51-9058-4a34-aa53-cffedf1af118</t>
        </is>
      </c>
    </row>
    <row r="136">
      <c r="A136" s="13" t="inlineStr">
        <is>
          <t>40827f51</t>
        </is>
      </c>
      <c r="B136" s="13" t="inlineStr">
        <is>
          <t>2026-09-01T22:55:45.719Z</t>
        </is>
      </c>
      <c r="C136" s="13" t="inlineStr">
        <is>
          <t>decomp_review</t>
        </is>
      </c>
      <c r="D136" s="13" t="inlineStr">
        <is>
          <t>generating_outline</t>
        </is>
      </c>
      <c r="E136" s="13" t="inlineStr">
        <is>
          <t>ADMIN_OVERRIDE</t>
        </is>
      </c>
      <c r="F136" s="13" t="inlineStr">
        <is>
          <t>ali@meridian.ai</t>
        </is>
      </c>
      <c r="G136" s="13" t="inlineStr">
        <is>
          <t>40827f51-9058-4a34-aa53-cffedf1af118</t>
        </is>
      </c>
    </row>
    <row r="137">
      <c r="A137" s="13" t="inlineStr">
        <is>
          <t>40827f51</t>
        </is>
      </c>
      <c r="B137" s="13" t="inlineStr">
        <is>
          <t>2026-09-01T22:57:23.168Z</t>
        </is>
      </c>
      <c r="C137" s="13" t="inlineStr">
        <is>
          <t>generating_outline</t>
        </is>
      </c>
      <c r="D137" s="13" t="inlineStr">
        <is>
          <t>generating_outline</t>
        </is>
      </c>
      <c r="E137" s="13" t="inlineStr">
        <is>
          <t>FIELDS_WRITE</t>
        </is>
      </c>
      <c r="F137" s="13" t="inlineStr">
        <is>
          <t>system@tsip.ai</t>
        </is>
      </c>
      <c r="G137" s="13" t="inlineStr">
        <is>
          <t>40827f51-9058-4a34-aa53-cffedf1af118</t>
        </is>
      </c>
    </row>
    <row r="138">
      <c r="A138" s="13" t="inlineStr">
        <is>
          <t>40827f51</t>
        </is>
      </c>
      <c r="B138" s="13" t="inlineStr">
        <is>
          <t>2026-09-01T22:57:24.992Z</t>
        </is>
      </c>
      <c r="C138" s="13" t="inlineStr">
        <is>
          <t>generating_outline</t>
        </is>
      </c>
      <c r="D138" s="13" t="inlineStr">
        <is>
          <t>decomp_review</t>
        </is>
      </c>
      <c r="E138" s="13" t="inlineStr">
        <is>
          <t>SUBMIT_TASK_OUTLINE</t>
        </is>
      </c>
      <c r="F138" s="13" t="inlineStr">
        <is>
          <t>system@tsip.ai</t>
        </is>
      </c>
      <c r="G138" s="13" t="inlineStr">
        <is>
          <t>40827f51-9058-4a34-aa53-cffedf1af118</t>
        </is>
      </c>
    </row>
    <row r="139">
      <c r="A139" s="13" t="inlineStr">
        <is>
          <t>41fbe12c</t>
        </is>
      </c>
      <c r="B139" s="13" t="inlineStr">
        <is>
          <t>2026-08-30T20:33:55.205Z</t>
        </is>
      </c>
      <c r="C139" s="13" t="inlineStr">
        <is>
          <t>NONE</t>
        </is>
      </c>
      <c r="D139" s="13" t="inlineStr">
        <is>
          <t>needs_decomp</t>
        </is>
      </c>
      <c r="E139" s="13" t="inlineStr">
        <is>
          <t>CLONED</t>
        </is>
      </c>
      <c r="F139" s="13" t="inlineStr">
        <is>
          <t>system@tsip.ai</t>
        </is>
      </c>
      <c r="G139" s="13" t="inlineStr">
        <is>
          <t>41fbe12c-7c20-463d-96e8-4ae8700d1c0d</t>
        </is>
      </c>
    </row>
    <row r="140">
      <c r="A140" s="13" t="inlineStr">
        <is>
          <t>41fbe12c</t>
        </is>
      </c>
      <c r="B140" s="13" t="inlineStr">
        <is>
          <t>2026-08-30T20:44:31.6Z</t>
        </is>
      </c>
      <c r="C140" s="13" t="inlineStr">
        <is>
          <t>needs_decomp</t>
        </is>
      </c>
      <c r="D140" s="13" t="inlineStr">
        <is>
          <t>needs_decomp</t>
        </is>
      </c>
      <c r="E140" s="13" t="inlineStr">
        <is>
          <t>POOL_CLAIM</t>
        </is>
      </c>
      <c r="F140" s="13" t="inlineStr">
        <is>
          <t>apathy@uchicago.edu</t>
        </is>
      </c>
      <c r="G140" s="13" t="inlineStr">
        <is>
          <t>41fbe12c-7c20-463d-96e8-4ae8700d1c0d</t>
        </is>
      </c>
    </row>
    <row r="141">
      <c r="A141" s="13" t="inlineStr">
        <is>
          <t>41fbe12c</t>
        </is>
      </c>
      <c r="B141" s="13" t="inlineStr">
        <is>
          <t>2026-08-31T13:48:05.182Z</t>
        </is>
      </c>
      <c r="C141" s="13" t="inlineStr">
        <is>
          <t>needs_decomp</t>
        </is>
      </c>
      <c r="D141" s="13" t="inlineStr">
        <is>
          <t>needs_decomp</t>
        </is>
      </c>
      <c r="E141" s="13" t="inlineStr">
        <is>
          <t>AUTO_POOL</t>
        </is>
      </c>
      <c r="F141" s="13" t="inlineStr">
        <is>
          <t>apathy@uchicago.edu</t>
        </is>
      </c>
      <c r="G141" s="13" t="inlineStr">
        <is>
          <t>41fbe12c-7c20-463d-96e8-4ae8700d1c0d</t>
        </is>
      </c>
    </row>
    <row r="142">
      <c r="A142" s="13" t="inlineStr">
        <is>
          <t>41fbe12c</t>
        </is>
      </c>
      <c r="B142" s="13" t="inlineStr">
        <is>
          <t>2026-08-31T13:48:05.23Z</t>
        </is>
      </c>
      <c r="C142" s="13" t="inlineStr">
        <is>
          <t>needs_decomp</t>
        </is>
      </c>
      <c r="D142" s="13" t="inlineStr">
        <is>
          <t>decomp_complexity_check</t>
        </is>
      </c>
      <c r="E142" s="13" t="inlineStr">
        <is>
          <t>SUBMIT_DECOMP</t>
        </is>
      </c>
      <c r="F142" s="13" t="inlineStr">
        <is>
          <t>apathy@uchicago.edu</t>
        </is>
      </c>
      <c r="G142" s="13" t="inlineStr">
        <is>
          <t>41fbe12c-7c20-463d-96e8-4ae8700d1c0d</t>
        </is>
      </c>
    </row>
    <row r="143">
      <c r="A143" s="13" t="inlineStr">
        <is>
          <t>41fbe12c</t>
        </is>
      </c>
      <c r="B143" s="13" t="inlineStr">
        <is>
          <t>2026-08-31T13:48:15.656Z</t>
        </is>
      </c>
      <c r="C143" s="13" t="inlineStr">
        <is>
          <t>decomp_complexity_check</t>
        </is>
      </c>
      <c r="D143" s="13" t="inlineStr">
        <is>
          <t>decomp_complexity_check</t>
        </is>
      </c>
      <c r="E143" s="13" t="inlineStr">
        <is>
          <t>FIELDS_WRITE</t>
        </is>
      </c>
      <c r="F143" s="13" t="inlineStr">
        <is>
          <t>system@tsip.ai</t>
        </is>
      </c>
      <c r="G143" s="13" t="inlineStr">
        <is>
          <t>41fbe12c-7c20-463d-96e8-4ae8700d1c0d</t>
        </is>
      </c>
    </row>
    <row r="144">
      <c r="A144" s="13" t="inlineStr">
        <is>
          <t>41fbe12c</t>
        </is>
      </c>
      <c r="B144" s="13" t="inlineStr">
        <is>
          <t>2026-08-31T13:48:16.525Z</t>
        </is>
      </c>
      <c r="C144" s="13" t="inlineStr">
        <is>
          <t>decomp_complexity_check</t>
        </is>
      </c>
      <c r="D144" s="13" t="inlineStr">
        <is>
          <t>generating_outline</t>
        </is>
      </c>
      <c r="E144" s="13" t="inlineStr">
        <is>
          <t>COMPLEXITY_CHECK_DONE</t>
        </is>
      </c>
      <c r="F144" s="13" t="inlineStr">
        <is>
          <t>system@tsip.ai</t>
        </is>
      </c>
      <c r="G144" s="13" t="inlineStr">
        <is>
          <t>41fbe12c-7c20-463d-96e8-4ae8700d1c0d</t>
        </is>
      </c>
    </row>
    <row r="145">
      <c r="A145" s="13" t="inlineStr">
        <is>
          <t>41fbe12c</t>
        </is>
      </c>
      <c r="B145" s="13" t="inlineStr">
        <is>
          <t>2026-08-31T13:50:16.436Z</t>
        </is>
      </c>
      <c r="C145" s="13" t="inlineStr">
        <is>
          <t>generating_outline</t>
        </is>
      </c>
      <c r="D145" s="13" t="inlineStr">
        <is>
          <t>decomp_review</t>
        </is>
      </c>
      <c r="E145" s="13" t="inlineStr">
        <is>
          <t>SUBMIT_TASK_OUTLINE</t>
        </is>
      </c>
      <c r="F145" s="13" t="inlineStr">
        <is>
          <t>system@tsip.ai</t>
        </is>
      </c>
      <c r="G145" s="13" t="inlineStr">
        <is>
          <t>41fbe12c-7c20-463d-96e8-4ae8700d1c0d</t>
        </is>
      </c>
    </row>
    <row r="146">
      <c r="A146" s="13" t="inlineStr">
        <is>
          <t>41fbe12c</t>
        </is>
      </c>
      <c r="B146" s="13" t="inlineStr">
        <is>
          <t>2026-08-31T14:18:09.693Z</t>
        </is>
      </c>
      <c r="C146" s="13" t="inlineStr">
        <is>
          <t>decomp_review</t>
        </is>
      </c>
      <c r="D146" s="13" t="inlineStr">
        <is>
          <t>generating_outline</t>
        </is>
      </c>
      <c r="E146" s="13" t="inlineStr">
        <is>
          <t>ADMIN_OVERRIDE</t>
        </is>
      </c>
      <c r="F146" s="13" t="inlineStr">
        <is>
          <t>rishi@meridian.ai</t>
        </is>
      </c>
      <c r="G146" s="13" t="inlineStr">
        <is>
          <t>41fbe12c-7c20-463d-96e8-4ae8700d1c0d</t>
        </is>
      </c>
    </row>
    <row r="147">
      <c r="A147" s="13" t="inlineStr">
        <is>
          <t>41fbe12c</t>
        </is>
      </c>
      <c r="B147" s="13" t="inlineStr">
        <is>
          <t>2026-08-31T14:22:09.298Z</t>
        </is>
      </c>
      <c r="C147" s="13" t="inlineStr">
        <is>
          <t>generating_outline</t>
        </is>
      </c>
      <c r="D147" s="13" t="inlineStr">
        <is>
          <t>decomp_review</t>
        </is>
      </c>
      <c r="E147" s="13" t="inlineStr">
        <is>
          <t>SUBMIT_TASK_OUTLINE</t>
        </is>
      </c>
      <c r="F147" s="13" t="inlineStr">
        <is>
          <t>system@tsip.ai</t>
        </is>
      </c>
      <c r="G147" s="13" t="inlineStr">
        <is>
          <t>41fbe12c-7c20-463d-96e8-4ae8700d1c0d</t>
        </is>
      </c>
    </row>
    <row r="148">
      <c r="A148" s="13" t="inlineStr">
        <is>
          <t>41fbe12c</t>
        </is>
      </c>
      <c r="B148" s="13" t="inlineStr">
        <is>
          <t>2026-08-31T14:23:49.594Z</t>
        </is>
      </c>
      <c r="C148" s="13" t="inlineStr">
        <is>
          <t>decomp_review</t>
        </is>
      </c>
      <c r="D148" s="13" t="inlineStr">
        <is>
          <t>generating_outline</t>
        </is>
      </c>
      <c r="E148" s="13" t="inlineStr">
        <is>
          <t>ADMIN_OVERRIDE</t>
        </is>
      </c>
      <c r="F148" s="13" t="inlineStr">
        <is>
          <t>rishi@meridian.ai</t>
        </is>
      </c>
      <c r="G148" s="13" t="inlineStr">
        <is>
          <t>41fbe12c-7c20-463d-96e8-4ae8700d1c0d</t>
        </is>
      </c>
    </row>
    <row r="149">
      <c r="A149" s="13" t="inlineStr">
        <is>
          <t>41fbe12c</t>
        </is>
      </c>
      <c r="B149" s="13" t="inlineStr">
        <is>
          <t>2026-08-31T14:26:36.175Z</t>
        </is>
      </c>
      <c r="C149" s="13" t="inlineStr">
        <is>
          <t>generating_outline</t>
        </is>
      </c>
      <c r="D149" s="13" t="inlineStr">
        <is>
          <t>decomp_review</t>
        </is>
      </c>
      <c r="E149" s="13" t="inlineStr">
        <is>
          <t>SUBMIT_TASK_OUTLINE</t>
        </is>
      </c>
      <c r="F149" s="13" t="inlineStr">
        <is>
          <t>system@tsip.ai</t>
        </is>
      </c>
      <c r="G149" s="13" t="inlineStr">
        <is>
          <t>41fbe12c-7c20-463d-96e8-4ae8700d1c0d</t>
        </is>
      </c>
    </row>
    <row r="150">
      <c r="A150" s="13" t="inlineStr">
        <is>
          <t>41fbe12c</t>
        </is>
      </c>
      <c r="B150" s="13" t="inlineStr">
        <is>
          <t>2026-09-01T22:55:45.82Z</t>
        </is>
      </c>
      <c r="C150" s="13" t="inlineStr">
        <is>
          <t>decomp_review</t>
        </is>
      </c>
      <c r="D150" s="13" t="inlineStr">
        <is>
          <t>generating_outline</t>
        </is>
      </c>
      <c r="E150" s="13" t="inlineStr">
        <is>
          <t>ADMIN_OVERRIDE</t>
        </is>
      </c>
      <c r="F150" s="13" t="inlineStr">
        <is>
          <t>ali@meridian.ai</t>
        </is>
      </c>
      <c r="G150" s="13" t="inlineStr">
        <is>
          <t>41fbe12c-7c20-463d-96e8-4ae8700d1c0d</t>
        </is>
      </c>
    </row>
    <row r="151">
      <c r="A151" s="13" t="inlineStr">
        <is>
          <t>41fbe12c</t>
        </is>
      </c>
      <c r="B151" s="13" t="inlineStr">
        <is>
          <t>2026-09-01T23:00:06.732Z</t>
        </is>
      </c>
      <c r="C151" s="13" t="inlineStr">
        <is>
          <t>generating_outline</t>
        </is>
      </c>
      <c r="D151" s="13" t="inlineStr">
        <is>
          <t>generating_outline</t>
        </is>
      </c>
      <c r="E151" s="13" t="inlineStr">
        <is>
          <t>FIELDS_WRITE</t>
        </is>
      </c>
      <c r="F151" s="13" t="inlineStr">
        <is>
          <t>system@tsip.ai</t>
        </is>
      </c>
      <c r="G151" s="13" t="inlineStr">
        <is>
          <t>41fbe12c-7c20-463d-96e8-4ae8700d1c0d</t>
        </is>
      </c>
    </row>
    <row r="152">
      <c r="A152" s="13" t="inlineStr">
        <is>
          <t>41fbe12c</t>
        </is>
      </c>
      <c r="B152" s="13" t="inlineStr">
        <is>
          <t>2026-09-01T23:00:07.706Z</t>
        </is>
      </c>
      <c r="C152" s="13" t="inlineStr">
        <is>
          <t>generating_outline</t>
        </is>
      </c>
      <c r="D152" s="13" t="inlineStr">
        <is>
          <t>decomp_review</t>
        </is>
      </c>
      <c r="E152" s="13" t="inlineStr">
        <is>
          <t>SUBMIT_TASK_OUTLINE</t>
        </is>
      </c>
      <c r="F152" s="13" t="inlineStr">
        <is>
          <t>system@tsip.ai</t>
        </is>
      </c>
      <c r="G152" s="13" t="inlineStr">
        <is>
          <t>41fbe12c-7c20-463d-96e8-4ae8700d1c0d</t>
        </is>
      </c>
    </row>
    <row r="153">
      <c r="A153" s="13" t="inlineStr">
        <is>
          <t>437756ce</t>
        </is>
      </c>
      <c r="B153" s="13" t="inlineStr">
        <is>
          <t>2026-09-01T23:56:18.055Z</t>
        </is>
      </c>
      <c r="C153" s="13" t="inlineStr">
        <is>
          <t>NONE</t>
        </is>
      </c>
      <c r="D153" s="13" t="inlineStr">
        <is>
          <t>needs_decomp</t>
        </is>
      </c>
      <c r="E153" s="13" t="inlineStr">
        <is>
          <t>SPAWNED</t>
        </is>
      </c>
      <c r="F153" s="13" t="inlineStr">
        <is>
          <t>system@tsip.ai</t>
        </is>
      </c>
      <c r="G153" s="13" t="inlineStr">
        <is>
          <t>437756ce-b81b-403d-8a2d-be439ba78b4a</t>
        </is>
      </c>
    </row>
    <row r="154">
      <c r="A154" s="13" t="inlineStr">
        <is>
          <t>437756ce</t>
        </is>
      </c>
      <c r="B154" s="13" t="inlineStr">
        <is>
          <t>2026-09-02T00:01:29.017Z</t>
        </is>
      </c>
      <c r="C154" s="13" t="inlineStr">
        <is>
          <t>needs_decomp</t>
        </is>
      </c>
      <c r="D154" s="13" t="inlineStr">
        <is>
          <t>needs_decomp</t>
        </is>
      </c>
      <c r="E154" s="13" t="inlineStr">
        <is>
          <t>AUTO_POOL</t>
        </is>
      </c>
      <c r="F154" s="13" t="inlineStr">
        <is>
          <t>wangche2532@gmail.com</t>
        </is>
      </c>
      <c r="G154" s="13" t="inlineStr">
        <is>
          <t>437756ce-b81b-403d-8a2d-be439ba78b4a</t>
        </is>
      </c>
    </row>
    <row r="155">
      <c r="A155" s="13" t="inlineStr">
        <is>
          <t>437756ce</t>
        </is>
      </c>
      <c r="B155" s="13" t="inlineStr">
        <is>
          <t>2026-09-02T00:01:29.056Z</t>
        </is>
      </c>
      <c r="C155" s="13" t="inlineStr">
        <is>
          <t>needs_decomp</t>
        </is>
      </c>
      <c r="D155" s="13" t="inlineStr">
        <is>
          <t>decomp_complexity_check</t>
        </is>
      </c>
      <c r="E155" s="13" t="inlineStr">
        <is>
          <t>SUBMIT_DECOMP</t>
        </is>
      </c>
      <c r="F155" s="13" t="inlineStr">
        <is>
          <t>wangche2532@gmail.com</t>
        </is>
      </c>
      <c r="G155" s="13" t="inlineStr">
        <is>
          <t>437756ce-b81b-403d-8a2d-be439ba78b4a</t>
        </is>
      </c>
    </row>
    <row r="156">
      <c r="A156" s="13" t="inlineStr">
        <is>
          <t>437756ce</t>
        </is>
      </c>
      <c r="B156" s="13" t="inlineStr">
        <is>
          <t>2026-09-02T00:01:36.122Z</t>
        </is>
      </c>
      <c r="C156" s="13" t="inlineStr">
        <is>
          <t>decomp_complexity_check</t>
        </is>
      </c>
      <c r="D156" s="13" t="inlineStr">
        <is>
          <t>decomp_complexity_check</t>
        </is>
      </c>
      <c r="E156" s="13" t="inlineStr">
        <is>
          <t>FIELDS_WRITE</t>
        </is>
      </c>
      <c r="F156" s="13" t="inlineStr">
        <is>
          <t>system@tsip.ai</t>
        </is>
      </c>
      <c r="G156" s="13" t="inlineStr">
        <is>
          <t>437756ce-b81b-403d-8a2d-be439ba78b4a</t>
        </is>
      </c>
    </row>
    <row r="157">
      <c r="A157" s="13" t="inlineStr">
        <is>
          <t>437756ce</t>
        </is>
      </c>
      <c r="B157" s="13" t="inlineStr">
        <is>
          <t>2026-09-02T00:01:37.343Z</t>
        </is>
      </c>
      <c r="C157" s="13" t="inlineStr">
        <is>
          <t>decomp_complexity_check</t>
        </is>
      </c>
      <c r="D157" s="13" t="inlineStr">
        <is>
          <t>generating_outline</t>
        </is>
      </c>
      <c r="E157" s="13" t="inlineStr">
        <is>
          <t>COMPLEXITY_CHECK_DONE</t>
        </is>
      </c>
      <c r="F157" s="13" t="inlineStr">
        <is>
          <t>system@tsip.ai</t>
        </is>
      </c>
      <c r="G157" s="13" t="inlineStr">
        <is>
          <t>437756ce-b81b-403d-8a2d-be439ba78b4a</t>
        </is>
      </c>
    </row>
    <row r="158">
      <c r="A158" s="13" t="inlineStr">
        <is>
          <t>437756ce</t>
        </is>
      </c>
      <c r="B158" s="13" t="inlineStr">
        <is>
          <t>2026-09-02T00:02:32.984Z</t>
        </is>
      </c>
      <c r="C158" s="13" t="inlineStr">
        <is>
          <t>generating_outline</t>
        </is>
      </c>
      <c r="D158" s="13" t="inlineStr">
        <is>
          <t>decomp_review</t>
        </is>
      </c>
      <c r="E158" s="13" t="inlineStr">
        <is>
          <t>SUBMIT_TASK_OUTLINE</t>
        </is>
      </c>
      <c r="F158" s="13" t="inlineStr">
        <is>
          <t>system@tsip.ai</t>
        </is>
      </c>
      <c r="G158" s="13" t="inlineStr">
        <is>
          <t>437756ce-b81b-403d-8a2d-be439ba78b4a</t>
        </is>
      </c>
    </row>
    <row r="159">
      <c r="A159" s="13" t="inlineStr">
        <is>
          <t>443385cc</t>
        </is>
      </c>
      <c r="B159" s="13" t="inlineStr">
        <is>
          <t>2026-08-31T15:21:18.017Z</t>
        </is>
      </c>
      <c r="C159" s="13" t="inlineStr">
        <is>
          <t>NONE</t>
        </is>
      </c>
      <c r="D159" s="13" t="inlineStr">
        <is>
          <t>needs_decomp</t>
        </is>
      </c>
      <c r="E159" s="13" t="inlineStr">
        <is>
          <t>SPAWNED</t>
        </is>
      </c>
      <c r="F159" s="13" t="inlineStr">
        <is>
          <t>system@tsip.ai</t>
        </is>
      </c>
      <c r="G159" s="13" t="inlineStr">
        <is>
          <t>443385cc-42c6-486b-ac8e-fd8724d99160</t>
        </is>
      </c>
    </row>
    <row r="160">
      <c r="A160" s="13" t="inlineStr">
        <is>
          <t>443385cc</t>
        </is>
      </c>
      <c r="B160" s="13" t="inlineStr">
        <is>
          <t>2026-08-31T15:41:03.933Z</t>
        </is>
      </c>
      <c r="C160" s="13" t="inlineStr">
        <is>
          <t>needs_decomp</t>
        </is>
      </c>
      <c r="D160" s="13" t="inlineStr">
        <is>
          <t>needs_decomp</t>
        </is>
      </c>
      <c r="E160" s="13" t="inlineStr">
        <is>
          <t>AUTO_POOL</t>
        </is>
      </c>
      <c r="F160" s="13" t="inlineStr">
        <is>
          <t>wangche2532@gmail.com</t>
        </is>
      </c>
      <c r="G160" s="13" t="inlineStr">
        <is>
          <t>443385cc-42c6-486b-ac8e-fd8724d99160</t>
        </is>
      </c>
    </row>
    <row r="161">
      <c r="A161" s="13" t="inlineStr">
        <is>
          <t>443385cc</t>
        </is>
      </c>
      <c r="B161" s="13" t="inlineStr">
        <is>
          <t>2026-08-31T15:41:03.981Z</t>
        </is>
      </c>
      <c r="C161" s="13" t="inlineStr">
        <is>
          <t>needs_decomp</t>
        </is>
      </c>
      <c r="D161" s="13" t="inlineStr">
        <is>
          <t>decomp_complexity_check</t>
        </is>
      </c>
      <c r="E161" s="13" t="inlineStr">
        <is>
          <t>SUBMIT_DECOMP</t>
        </is>
      </c>
      <c r="F161" s="13" t="inlineStr">
        <is>
          <t>wangche2532@gmail.com</t>
        </is>
      </c>
      <c r="G161" s="13" t="inlineStr">
        <is>
          <t>443385cc-42c6-486b-ac8e-fd8724d99160</t>
        </is>
      </c>
    </row>
    <row r="162">
      <c r="A162" s="13" t="inlineStr">
        <is>
          <t>443385cc</t>
        </is>
      </c>
      <c r="B162" s="13" t="inlineStr">
        <is>
          <t>2026-08-31T15:41:12.397Z</t>
        </is>
      </c>
      <c r="C162" s="13" t="inlineStr">
        <is>
          <t>decomp_complexity_check</t>
        </is>
      </c>
      <c r="D162" s="13" t="inlineStr">
        <is>
          <t>decomp_complexity_check</t>
        </is>
      </c>
      <c r="E162" s="13" t="inlineStr">
        <is>
          <t>FIELDS_WRITE</t>
        </is>
      </c>
      <c r="F162" s="13" t="inlineStr">
        <is>
          <t>system@tsip.ai</t>
        </is>
      </c>
      <c r="G162" s="13" t="inlineStr">
        <is>
          <t>443385cc-42c6-486b-ac8e-fd8724d99160</t>
        </is>
      </c>
    </row>
    <row r="163">
      <c r="A163" s="13" t="inlineStr">
        <is>
          <t>443385cc</t>
        </is>
      </c>
      <c r="B163" s="13" t="inlineStr">
        <is>
          <t>2026-08-31T15:41:13.214Z</t>
        </is>
      </c>
      <c r="C163" s="13" t="inlineStr">
        <is>
          <t>decomp_complexity_check</t>
        </is>
      </c>
      <c r="D163" s="13" t="inlineStr">
        <is>
          <t>generating_outline</t>
        </is>
      </c>
      <c r="E163" s="13" t="inlineStr">
        <is>
          <t>COMPLEXITY_CHECK_DONE</t>
        </is>
      </c>
      <c r="F163" s="13" t="inlineStr">
        <is>
          <t>system@tsip.ai</t>
        </is>
      </c>
      <c r="G163" s="13" t="inlineStr">
        <is>
          <t>443385cc-42c6-486b-ac8e-fd8724d99160</t>
        </is>
      </c>
    </row>
    <row r="164">
      <c r="A164" s="13" t="inlineStr">
        <is>
          <t>443385cc</t>
        </is>
      </c>
      <c r="B164" s="13" t="inlineStr">
        <is>
          <t>2026-08-31T15:41:59.946Z</t>
        </is>
      </c>
      <c r="C164" s="13" t="inlineStr">
        <is>
          <t>generating_outline</t>
        </is>
      </c>
      <c r="D164" s="13" t="inlineStr">
        <is>
          <t>decomp_review</t>
        </is>
      </c>
      <c r="E164" s="13" t="inlineStr">
        <is>
          <t>SUBMIT_TASK_OUTLINE</t>
        </is>
      </c>
      <c r="F164" s="13" t="inlineStr">
        <is>
          <t>system@tsip.ai</t>
        </is>
      </c>
      <c r="G164" s="13" t="inlineStr">
        <is>
          <t>443385cc-42c6-486b-ac8e-fd8724d99160</t>
        </is>
      </c>
    </row>
    <row r="165">
      <c r="A165" s="13" t="inlineStr">
        <is>
          <t>443385cc</t>
        </is>
      </c>
      <c r="B165" s="13" t="inlineStr">
        <is>
          <t>2026-09-01T21:57:07.624Z</t>
        </is>
      </c>
      <c r="C165" s="13" t="inlineStr">
        <is>
          <t>decomp_review</t>
        </is>
      </c>
      <c r="D165" s="13" t="inlineStr">
        <is>
          <t>generating_outline</t>
        </is>
      </c>
      <c r="E165" s="13" t="inlineStr">
        <is>
          <t>ADMIN_OVERRIDE</t>
        </is>
      </c>
      <c r="F165" s="13" t="inlineStr">
        <is>
          <t>ali@meridian.ai</t>
        </is>
      </c>
      <c r="G165" s="13" t="inlineStr">
        <is>
          <t>443385cc-42c6-486b-ac8e-fd8724d99160</t>
        </is>
      </c>
    </row>
    <row r="166">
      <c r="A166" s="13" t="inlineStr">
        <is>
          <t>443385cc</t>
        </is>
      </c>
      <c r="B166" s="13" t="inlineStr">
        <is>
          <t>2026-09-01T22:00:09.483Z</t>
        </is>
      </c>
      <c r="C166" s="13" t="inlineStr">
        <is>
          <t>generating_outline</t>
        </is>
      </c>
      <c r="D166" s="13" t="inlineStr">
        <is>
          <t>generating_outline</t>
        </is>
      </c>
      <c r="E166" s="13" t="inlineStr">
        <is>
          <t>FIELDS_WRITE</t>
        </is>
      </c>
      <c r="F166" s="13" t="inlineStr">
        <is>
          <t>system@tsip.ai</t>
        </is>
      </c>
      <c r="G166" s="13" t="inlineStr">
        <is>
          <t>443385cc-42c6-486b-ac8e-fd8724d99160</t>
        </is>
      </c>
    </row>
    <row r="167">
      <c r="A167" s="13" t="inlineStr">
        <is>
          <t>443385cc</t>
        </is>
      </c>
      <c r="B167" s="13" t="inlineStr">
        <is>
          <t>2026-09-01T22:00:10.553Z</t>
        </is>
      </c>
      <c r="C167" s="13" t="inlineStr">
        <is>
          <t>generating_outline</t>
        </is>
      </c>
      <c r="D167" s="13" t="inlineStr">
        <is>
          <t>decomp_review</t>
        </is>
      </c>
      <c r="E167" s="13" t="inlineStr">
        <is>
          <t>SUBMIT_TASK_OUTLINE</t>
        </is>
      </c>
      <c r="F167" s="13" t="inlineStr">
        <is>
          <t>system@tsip.ai</t>
        </is>
      </c>
      <c r="G167" s="13" t="inlineStr">
        <is>
          <t>443385cc-42c6-486b-ac8e-fd8724d99160</t>
        </is>
      </c>
    </row>
    <row r="168">
      <c r="A168" s="13" t="inlineStr">
        <is>
          <t>4f56a4bf</t>
        </is>
      </c>
      <c r="B168" s="13" t="inlineStr">
        <is>
          <t>2026-09-01T16:09:50.405Z</t>
        </is>
      </c>
      <c r="C168" s="13" t="inlineStr">
        <is>
          <t>NONE</t>
        </is>
      </c>
      <c r="D168" s="13" t="inlineStr">
        <is>
          <t>needs_decomp</t>
        </is>
      </c>
      <c r="E168" s="13" t="inlineStr">
        <is>
          <t>SPAWNED</t>
        </is>
      </c>
      <c r="F168" s="13" t="inlineStr">
        <is>
          <t>system@tsip.ai</t>
        </is>
      </c>
      <c r="G168" s="13" t="inlineStr">
        <is>
          <t>4f56a4bf-a1c1-4a5a-a04b-0002394e52c8</t>
        </is>
      </c>
    </row>
    <row r="169">
      <c r="A169" s="13" t="inlineStr">
        <is>
          <t>4f56a4bf</t>
        </is>
      </c>
      <c r="B169" s="13" t="inlineStr">
        <is>
          <t>2026-09-01T16:19:29.893Z</t>
        </is>
      </c>
      <c r="C169" s="13" t="inlineStr">
        <is>
          <t>needs_decomp</t>
        </is>
      </c>
      <c r="D169" s="13" t="inlineStr">
        <is>
          <t>needs_decomp</t>
        </is>
      </c>
      <c r="E169" s="13" t="inlineStr">
        <is>
          <t>AUTO_POOL</t>
        </is>
      </c>
      <c r="F169" s="13" t="inlineStr">
        <is>
          <t>apathy@uchicago.edu</t>
        </is>
      </c>
      <c r="G169" s="13" t="inlineStr">
        <is>
          <t>4f56a4bf-a1c1-4a5a-a04b-0002394e52c8</t>
        </is>
      </c>
    </row>
    <row r="170">
      <c r="A170" s="13" t="inlineStr">
        <is>
          <t>4f56a4bf</t>
        </is>
      </c>
      <c r="B170" s="13" t="inlineStr">
        <is>
          <t>2026-09-01T16:19:29.967Z</t>
        </is>
      </c>
      <c r="C170" s="13" t="inlineStr">
        <is>
          <t>needs_decomp</t>
        </is>
      </c>
      <c r="D170" s="13" t="inlineStr">
        <is>
          <t>decomp_complexity_check</t>
        </is>
      </c>
      <c r="E170" s="13" t="inlineStr">
        <is>
          <t>SUBMIT_DECOMP</t>
        </is>
      </c>
      <c r="F170" s="13" t="inlineStr">
        <is>
          <t>apathy@uchicago.edu</t>
        </is>
      </c>
      <c r="G170" s="13" t="inlineStr">
        <is>
          <t>4f56a4bf-a1c1-4a5a-a04b-0002394e52c8</t>
        </is>
      </c>
    </row>
    <row r="171">
      <c r="A171" s="13" t="inlineStr">
        <is>
          <t>4f56a4bf</t>
        </is>
      </c>
      <c r="B171" s="13" t="inlineStr">
        <is>
          <t>2026-09-01T16:19:42.498Z</t>
        </is>
      </c>
      <c r="C171" s="13" t="inlineStr">
        <is>
          <t>decomp_complexity_check</t>
        </is>
      </c>
      <c r="D171" s="13" t="inlineStr">
        <is>
          <t>decomp_complexity_check</t>
        </is>
      </c>
      <c r="E171" s="13" t="inlineStr">
        <is>
          <t>FIELDS_WRITE</t>
        </is>
      </c>
      <c r="F171" s="13" t="inlineStr">
        <is>
          <t>system@tsip.ai</t>
        </is>
      </c>
      <c r="G171" s="13" t="inlineStr">
        <is>
          <t>4f56a4bf-a1c1-4a5a-a04b-0002394e52c8</t>
        </is>
      </c>
    </row>
    <row r="172">
      <c r="A172" s="13" t="inlineStr">
        <is>
          <t>4f56a4bf</t>
        </is>
      </c>
      <c r="B172" s="13" t="inlineStr">
        <is>
          <t>2026-09-01T16:19:46.906Z</t>
        </is>
      </c>
      <c r="C172" s="13" t="inlineStr">
        <is>
          <t>decomp_complexity_check</t>
        </is>
      </c>
      <c r="D172" s="13" t="inlineStr">
        <is>
          <t>generating_outline</t>
        </is>
      </c>
      <c r="E172" s="13" t="inlineStr">
        <is>
          <t>COMPLEXITY_CHECK_DONE</t>
        </is>
      </c>
      <c r="F172" s="13" t="inlineStr">
        <is>
          <t>system@tsip.ai</t>
        </is>
      </c>
      <c r="G172" s="13" t="inlineStr">
        <is>
          <t>4f56a4bf-a1c1-4a5a-a04b-0002394e52c8</t>
        </is>
      </c>
    </row>
    <row r="173">
      <c r="A173" s="13" t="inlineStr">
        <is>
          <t>4f56a4bf</t>
        </is>
      </c>
      <c r="B173" s="13" t="inlineStr">
        <is>
          <t>2026-09-01T16:22:45.536Z</t>
        </is>
      </c>
      <c r="C173" s="13" t="inlineStr">
        <is>
          <t>generating_outline</t>
        </is>
      </c>
      <c r="D173" s="13" t="inlineStr">
        <is>
          <t>decomp_review</t>
        </is>
      </c>
      <c r="E173" s="13" t="inlineStr">
        <is>
          <t>SUBMIT_TASK_OUTLINE</t>
        </is>
      </c>
      <c r="F173" s="13" t="inlineStr">
        <is>
          <t>system@tsip.ai</t>
        </is>
      </c>
      <c r="G173" s="13" t="inlineStr">
        <is>
          <t>4f56a4bf-a1c1-4a5a-a04b-0002394e52c8</t>
        </is>
      </c>
    </row>
    <row r="174">
      <c r="A174" s="13" t="inlineStr">
        <is>
          <t>4f56a4bf</t>
        </is>
      </c>
      <c r="B174" s="13" t="inlineStr">
        <is>
          <t>2026-09-01T21:57:06.114Z</t>
        </is>
      </c>
      <c r="C174" s="13" t="inlineStr">
        <is>
          <t>decomp_review</t>
        </is>
      </c>
      <c r="D174" s="13" t="inlineStr">
        <is>
          <t>generating_outline</t>
        </is>
      </c>
      <c r="E174" s="13" t="inlineStr">
        <is>
          <t>ADMIN_OVERRIDE</t>
        </is>
      </c>
      <c r="F174" s="13" t="inlineStr">
        <is>
          <t>ali@meridian.ai</t>
        </is>
      </c>
      <c r="G174" s="13" t="inlineStr">
        <is>
          <t>4f56a4bf-a1c1-4a5a-a04b-0002394e52c8</t>
        </is>
      </c>
    </row>
    <row r="175">
      <c r="A175" s="13" t="inlineStr">
        <is>
          <t>4f56a4bf</t>
        </is>
      </c>
      <c r="B175" s="13" t="inlineStr">
        <is>
          <t>2026-09-01T22:09:36.982Z</t>
        </is>
      </c>
      <c r="C175" s="13" t="inlineStr">
        <is>
          <t>generating_outline</t>
        </is>
      </c>
      <c r="D175" s="13" t="inlineStr">
        <is>
          <t>generating_outline</t>
        </is>
      </c>
      <c r="E175" s="13" t="inlineStr">
        <is>
          <t>FIELDS_WRITE</t>
        </is>
      </c>
      <c r="F175" s="13" t="inlineStr">
        <is>
          <t>system@tsip.ai</t>
        </is>
      </c>
      <c r="G175" s="13" t="inlineStr">
        <is>
          <t>4f56a4bf-a1c1-4a5a-a04b-0002394e52c8</t>
        </is>
      </c>
    </row>
    <row r="176">
      <c r="A176" s="13" t="inlineStr">
        <is>
          <t>4f56a4bf</t>
        </is>
      </c>
      <c r="B176" s="13" t="inlineStr">
        <is>
          <t>2026-09-01T22:09:38.535Z</t>
        </is>
      </c>
      <c r="C176" s="13" t="inlineStr">
        <is>
          <t>generating_outline</t>
        </is>
      </c>
      <c r="D176" s="13" t="inlineStr">
        <is>
          <t>decomp_review</t>
        </is>
      </c>
      <c r="E176" s="13" t="inlineStr">
        <is>
          <t>SUBMIT_TASK_OUTLINE</t>
        </is>
      </c>
      <c r="F176" s="13" t="inlineStr">
        <is>
          <t>system@tsip.ai</t>
        </is>
      </c>
      <c r="G176" s="13" t="inlineStr">
        <is>
          <t>4f56a4bf-a1c1-4a5a-a04b-0002394e52c8</t>
        </is>
      </c>
    </row>
    <row r="177">
      <c r="A177" s="13" t="inlineStr">
        <is>
          <t>552a9578</t>
        </is>
      </c>
      <c r="B177" s="13" t="inlineStr">
        <is>
          <t>2026-08-31T15:16:54.526Z</t>
        </is>
      </c>
      <c r="C177" s="13" t="inlineStr">
        <is>
          <t>NONE</t>
        </is>
      </c>
      <c r="D177" s="13" t="inlineStr">
        <is>
          <t>needs_decomp</t>
        </is>
      </c>
      <c r="E177" s="13" t="inlineStr">
        <is>
          <t>SPAWNED</t>
        </is>
      </c>
      <c r="F177" s="13" t="inlineStr">
        <is>
          <t>system@tsip.ai</t>
        </is>
      </c>
      <c r="G177" s="13" t="inlineStr">
        <is>
          <t>552a9578-aaf8-453b-8f58-e85a1ed40315</t>
        </is>
      </c>
    </row>
    <row r="178">
      <c r="A178" s="13" t="inlineStr">
        <is>
          <t>552a9578</t>
        </is>
      </c>
      <c r="B178" s="13" t="inlineStr">
        <is>
          <t>2026-08-31T15:21:11.163Z</t>
        </is>
      </c>
      <c r="C178" s="13" t="inlineStr">
        <is>
          <t>needs_decomp</t>
        </is>
      </c>
      <c r="D178" s="13" t="inlineStr">
        <is>
          <t>needs_decomp</t>
        </is>
      </c>
      <c r="E178" s="13" t="inlineStr">
        <is>
          <t>AUTO_POOL</t>
        </is>
      </c>
      <c r="F178" s="13" t="inlineStr">
        <is>
          <t>wangche2532@gmail.com</t>
        </is>
      </c>
      <c r="G178" s="13" t="inlineStr">
        <is>
          <t>552a9578-aaf8-453b-8f58-e85a1ed40315</t>
        </is>
      </c>
    </row>
    <row r="179">
      <c r="A179" s="13" t="inlineStr">
        <is>
          <t>552a9578</t>
        </is>
      </c>
      <c r="B179" s="13" t="inlineStr">
        <is>
          <t>2026-08-31T15:21:11.206Z</t>
        </is>
      </c>
      <c r="C179" s="13" t="inlineStr">
        <is>
          <t>needs_decomp</t>
        </is>
      </c>
      <c r="D179" s="13" t="inlineStr">
        <is>
          <t>decomp_complexity_check</t>
        </is>
      </c>
      <c r="E179" s="13" t="inlineStr">
        <is>
          <t>SUBMIT_DECOMP</t>
        </is>
      </c>
      <c r="F179" s="13" t="inlineStr">
        <is>
          <t>wangche2532@gmail.com</t>
        </is>
      </c>
      <c r="G179" s="13" t="inlineStr">
        <is>
          <t>552a9578-aaf8-453b-8f58-e85a1ed40315</t>
        </is>
      </c>
    </row>
    <row r="180">
      <c r="A180" s="13" t="inlineStr">
        <is>
          <t>552a9578</t>
        </is>
      </c>
      <c r="B180" s="13" t="inlineStr">
        <is>
          <t>2026-08-31T15:21:16.203Z</t>
        </is>
      </c>
      <c r="C180" s="13" t="inlineStr">
        <is>
          <t>decomp_complexity_check</t>
        </is>
      </c>
      <c r="D180" s="13" t="inlineStr">
        <is>
          <t>decomp_complexity_check</t>
        </is>
      </c>
      <c r="E180" s="13" t="inlineStr">
        <is>
          <t>FIELDS_WRITE</t>
        </is>
      </c>
      <c r="F180" s="13" t="inlineStr">
        <is>
          <t>system@tsip.ai</t>
        </is>
      </c>
      <c r="G180" s="13" t="inlineStr">
        <is>
          <t>552a9578-aaf8-453b-8f58-e85a1ed40315</t>
        </is>
      </c>
    </row>
    <row r="181">
      <c r="A181" s="13" t="inlineStr">
        <is>
          <t>552a9578</t>
        </is>
      </c>
      <c r="B181" s="13" t="inlineStr">
        <is>
          <t>2026-08-31T15:21:18.205Z</t>
        </is>
      </c>
      <c r="C181" s="13" t="inlineStr">
        <is>
          <t>decomp_complexity_check</t>
        </is>
      </c>
      <c r="D181" s="13" t="inlineStr">
        <is>
          <t>generating_outline</t>
        </is>
      </c>
      <c r="E181" s="13" t="inlineStr">
        <is>
          <t>COMPLEXITY_CHECK_DONE</t>
        </is>
      </c>
      <c r="F181" s="13" t="inlineStr">
        <is>
          <t>system@tsip.ai</t>
        </is>
      </c>
      <c r="G181" s="13" t="inlineStr">
        <is>
          <t>552a9578-aaf8-453b-8f58-e85a1ed40315</t>
        </is>
      </c>
    </row>
    <row r="182">
      <c r="A182" s="13" t="inlineStr">
        <is>
          <t>552a9578</t>
        </is>
      </c>
      <c r="B182" s="13" t="inlineStr">
        <is>
          <t>2026-08-31T15:23:58.41Z</t>
        </is>
      </c>
      <c r="C182" s="13" t="inlineStr">
        <is>
          <t>generating_outline</t>
        </is>
      </c>
      <c r="D182" s="13" t="inlineStr">
        <is>
          <t>decomp_review</t>
        </is>
      </c>
      <c r="E182" s="13" t="inlineStr">
        <is>
          <t>SUBMIT_TASK_OUTLINE</t>
        </is>
      </c>
      <c r="F182" s="13" t="inlineStr">
        <is>
          <t>system@tsip.ai</t>
        </is>
      </c>
      <c r="G182" s="13" t="inlineStr">
        <is>
          <t>552a9578-aaf8-453b-8f58-e85a1ed40315</t>
        </is>
      </c>
    </row>
    <row r="183">
      <c r="A183" s="13" t="inlineStr">
        <is>
          <t>552a9578</t>
        </is>
      </c>
      <c r="B183" s="13" t="inlineStr">
        <is>
          <t>2026-09-01T21:57:07.365Z</t>
        </is>
      </c>
      <c r="C183" s="13" t="inlineStr">
        <is>
          <t>decomp_review</t>
        </is>
      </c>
      <c r="D183" s="13" t="inlineStr">
        <is>
          <t>generating_outline</t>
        </is>
      </c>
      <c r="E183" s="13" t="inlineStr">
        <is>
          <t>ADMIN_OVERRIDE</t>
        </is>
      </c>
      <c r="F183" s="13" t="inlineStr">
        <is>
          <t>ali@meridian.ai</t>
        </is>
      </c>
      <c r="G183" s="13" t="inlineStr">
        <is>
          <t>552a9578-aaf8-453b-8f58-e85a1ed40315</t>
        </is>
      </c>
    </row>
    <row r="184">
      <c r="A184" s="13" t="inlineStr">
        <is>
          <t>552a9578</t>
        </is>
      </c>
      <c r="B184" s="13" t="inlineStr">
        <is>
          <t>2026-09-01T22:04:29.596Z</t>
        </is>
      </c>
      <c r="C184" s="13" t="inlineStr">
        <is>
          <t>generating_outline</t>
        </is>
      </c>
      <c r="D184" s="13" t="inlineStr">
        <is>
          <t>generating_outline</t>
        </is>
      </c>
      <c r="E184" s="13" t="inlineStr">
        <is>
          <t>FIELDS_WRITE</t>
        </is>
      </c>
      <c r="F184" s="13" t="inlineStr">
        <is>
          <t>system@tsip.ai</t>
        </is>
      </c>
      <c r="G184" s="13" t="inlineStr">
        <is>
          <t>552a9578-aaf8-453b-8f58-e85a1ed40315</t>
        </is>
      </c>
    </row>
    <row r="185">
      <c r="A185" s="13" t="inlineStr">
        <is>
          <t>552a9578</t>
        </is>
      </c>
      <c r="B185" s="13" t="inlineStr">
        <is>
          <t>2026-09-01T22:04:30.828Z</t>
        </is>
      </c>
      <c r="C185" s="13" t="inlineStr">
        <is>
          <t>generating_outline</t>
        </is>
      </c>
      <c r="D185" s="13" t="inlineStr">
        <is>
          <t>decomp_review</t>
        </is>
      </c>
      <c r="E185" s="13" t="inlineStr">
        <is>
          <t>SUBMIT_TASK_OUTLINE</t>
        </is>
      </c>
      <c r="F185" s="13" t="inlineStr">
        <is>
          <t>system@tsip.ai</t>
        </is>
      </c>
      <c r="G185" s="13" t="inlineStr">
        <is>
          <t>552a9578-aaf8-453b-8f58-e85a1ed40315</t>
        </is>
      </c>
    </row>
    <row r="186">
      <c r="A186" s="13" t="inlineStr">
        <is>
          <t>5961c436</t>
        </is>
      </c>
      <c r="B186" s="13" t="inlineStr">
        <is>
          <t>2026-08-30T23:00:04.544Z</t>
        </is>
      </c>
      <c r="C186" s="13" t="inlineStr">
        <is>
          <t>NONE</t>
        </is>
      </c>
      <c r="D186" s="13" t="inlineStr">
        <is>
          <t>needs_decomp</t>
        </is>
      </c>
      <c r="E186" s="13" t="inlineStr">
        <is>
          <t>CLONED</t>
        </is>
      </c>
      <c r="F186" s="13" t="inlineStr">
        <is>
          <t>system@tsip.ai</t>
        </is>
      </c>
      <c r="G186" s="13" t="inlineStr">
        <is>
          <t>5961c436-e583-4000-ad25-cc8e11a634ae</t>
        </is>
      </c>
    </row>
    <row r="187">
      <c r="A187" s="13" t="inlineStr">
        <is>
          <t>5961c436</t>
        </is>
      </c>
      <c r="B187" s="13" t="inlineStr">
        <is>
          <t>2026-08-30T23:00:29.065Z</t>
        </is>
      </c>
      <c r="C187" s="13" t="inlineStr">
        <is>
          <t>needs_decomp</t>
        </is>
      </c>
      <c r="D187" s="13" t="inlineStr">
        <is>
          <t>needs_decomp</t>
        </is>
      </c>
      <c r="E187" s="13" t="inlineStr">
        <is>
          <t>POOL_CLAIM</t>
        </is>
      </c>
      <c r="F187" s="13" t="inlineStr">
        <is>
          <t>wangche2532@gmail.com</t>
        </is>
      </c>
      <c r="G187" s="13" t="inlineStr">
        <is>
          <t>5961c436-e583-4000-ad25-cc8e11a634ae</t>
        </is>
      </c>
    </row>
    <row r="188">
      <c r="A188" s="13" t="inlineStr">
        <is>
          <t>5961c436</t>
        </is>
      </c>
      <c r="B188" s="13" t="inlineStr">
        <is>
          <t>2026-08-31T16:18:33.026Z</t>
        </is>
      </c>
      <c r="C188" s="13" t="inlineStr">
        <is>
          <t>needs_decomp</t>
        </is>
      </c>
      <c r="D188" s="13" t="inlineStr">
        <is>
          <t>needs_decomp</t>
        </is>
      </c>
      <c r="E188" s="13" t="inlineStr">
        <is>
          <t>AUTO_POOL</t>
        </is>
      </c>
      <c r="F188" s="13" t="inlineStr">
        <is>
          <t>wangche2532@gmail.com</t>
        </is>
      </c>
      <c r="G188" s="13" t="inlineStr">
        <is>
          <t>5961c436-e583-4000-ad25-cc8e11a634ae</t>
        </is>
      </c>
    </row>
    <row r="189">
      <c r="A189" s="13" t="inlineStr">
        <is>
          <t>5961c436</t>
        </is>
      </c>
      <c r="B189" s="13" t="inlineStr">
        <is>
          <t>2026-08-31T16:18:33.058Z</t>
        </is>
      </c>
      <c r="C189" s="13" t="inlineStr">
        <is>
          <t>needs_decomp</t>
        </is>
      </c>
      <c r="D189" s="13" t="inlineStr">
        <is>
          <t>decomp_complexity_check</t>
        </is>
      </c>
      <c r="E189" s="13" t="inlineStr">
        <is>
          <t>SUBMIT_DECOMP</t>
        </is>
      </c>
      <c r="F189" s="13" t="inlineStr">
        <is>
          <t>wangche2532@gmail.com</t>
        </is>
      </c>
      <c r="G189" s="13" t="inlineStr">
        <is>
          <t>5961c436-e583-4000-ad25-cc8e11a634ae</t>
        </is>
      </c>
    </row>
    <row r="190">
      <c r="A190" s="13" t="inlineStr">
        <is>
          <t>5961c436</t>
        </is>
      </c>
      <c r="B190" s="13" t="inlineStr">
        <is>
          <t>2026-08-31T16:18:45.868Z</t>
        </is>
      </c>
      <c r="C190" s="13" t="inlineStr">
        <is>
          <t>decomp_complexity_check</t>
        </is>
      </c>
      <c r="D190" s="13" t="inlineStr">
        <is>
          <t>decomp_complexity_check</t>
        </is>
      </c>
      <c r="E190" s="13" t="inlineStr">
        <is>
          <t>FIELDS_WRITE</t>
        </is>
      </c>
      <c r="F190" s="13" t="inlineStr">
        <is>
          <t>system@tsip.ai</t>
        </is>
      </c>
      <c r="G190" s="13" t="inlineStr">
        <is>
          <t>5961c436-e583-4000-ad25-cc8e11a634ae</t>
        </is>
      </c>
    </row>
    <row r="191">
      <c r="A191" s="13" t="inlineStr">
        <is>
          <t>5961c436</t>
        </is>
      </c>
      <c r="B191" s="13" t="inlineStr">
        <is>
          <t>2026-08-31T16:18:49.479Z</t>
        </is>
      </c>
      <c r="C191" s="13" t="inlineStr">
        <is>
          <t>decomp_complexity_check</t>
        </is>
      </c>
      <c r="D191" s="13" t="inlineStr">
        <is>
          <t>generating_outline</t>
        </is>
      </c>
      <c r="E191" s="13" t="inlineStr">
        <is>
          <t>COMPLEXITY_CHECK_DONE</t>
        </is>
      </c>
      <c r="F191" s="13" t="inlineStr">
        <is>
          <t>system@tsip.ai</t>
        </is>
      </c>
      <c r="G191" s="13" t="inlineStr">
        <is>
          <t>5961c436-e583-4000-ad25-cc8e11a634ae</t>
        </is>
      </c>
    </row>
    <row r="192">
      <c r="A192" s="13" t="inlineStr">
        <is>
          <t>5961c436</t>
        </is>
      </c>
      <c r="B192" s="13" t="inlineStr">
        <is>
          <t>2026-08-31T16:23:55.809Z</t>
        </is>
      </c>
      <c r="C192" s="13" t="inlineStr">
        <is>
          <t>generating_outline</t>
        </is>
      </c>
      <c r="D192" s="13" t="inlineStr">
        <is>
          <t>generating_outline</t>
        </is>
      </c>
      <c r="E192" s="13" t="inlineStr">
        <is>
          <t>FIELDS_WRITE</t>
        </is>
      </c>
      <c r="F192" s="13" t="inlineStr">
        <is>
          <t>system@tsip.ai</t>
        </is>
      </c>
      <c r="G192" s="13" t="inlineStr">
        <is>
          <t>5961c436-e583-4000-ad25-cc8e11a634ae</t>
        </is>
      </c>
    </row>
    <row r="193">
      <c r="A193" s="13" t="inlineStr">
        <is>
          <t>5961c436</t>
        </is>
      </c>
      <c r="B193" s="13" t="inlineStr">
        <is>
          <t>2026-08-31T16:23:56.84Z</t>
        </is>
      </c>
      <c r="C193" s="13" t="inlineStr">
        <is>
          <t>generating_outline</t>
        </is>
      </c>
      <c r="D193" s="13" t="inlineStr">
        <is>
          <t>decomp_review</t>
        </is>
      </c>
      <c r="E193" s="13" t="inlineStr">
        <is>
          <t>SUBMIT_TASK_OUTLINE</t>
        </is>
      </c>
      <c r="F193" s="13" t="inlineStr">
        <is>
          <t>system@tsip.ai</t>
        </is>
      </c>
      <c r="G193" s="13" t="inlineStr">
        <is>
          <t>5961c436-e583-4000-ad25-cc8e11a634ae</t>
        </is>
      </c>
    </row>
    <row r="194">
      <c r="A194" s="13" t="inlineStr">
        <is>
          <t>5961c436</t>
        </is>
      </c>
      <c r="B194" s="13" t="inlineStr">
        <is>
          <t>2026-09-01T22:55:46.057Z</t>
        </is>
      </c>
      <c r="C194" s="13" t="inlineStr">
        <is>
          <t>decomp_review</t>
        </is>
      </c>
      <c r="D194" s="13" t="inlineStr">
        <is>
          <t>generating_outline</t>
        </is>
      </c>
      <c r="E194" s="13" t="inlineStr">
        <is>
          <t>ADMIN_OVERRIDE</t>
        </is>
      </c>
      <c r="F194" s="13" t="inlineStr">
        <is>
          <t>ali@meridian.ai</t>
        </is>
      </c>
      <c r="G194" s="13" t="inlineStr">
        <is>
          <t>5961c436-e583-4000-ad25-cc8e11a634ae</t>
        </is>
      </c>
    </row>
    <row r="195">
      <c r="A195" s="13" t="inlineStr">
        <is>
          <t>5961c436</t>
        </is>
      </c>
      <c r="B195" s="13" t="inlineStr">
        <is>
          <t>2026-09-01T22:59:19.883Z</t>
        </is>
      </c>
      <c r="C195" s="13" t="inlineStr">
        <is>
          <t>generating_outline</t>
        </is>
      </c>
      <c r="D195" s="13" t="inlineStr">
        <is>
          <t>failed_generating_outline</t>
        </is>
      </c>
      <c r="E195" s="13" t="inlineStr">
        <is>
          <t>TASK_OUTLINE_FAILED</t>
        </is>
      </c>
      <c r="F195" s="13" t="inlineStr">
        <is>
          <t>system@tsip.ai</t>
        </is>
      </c>
      <c r="G195" s="13" t="inlineStr">
        <is>
          <t>5961c436-e583-4000-ad25-cc8e11a634ae</t>
        </is>
      </c>
    </row>
    <row r="196">
      <c r="A196" s="13" t="inlineStr">
        <is>
          <t>5961c436</t>
        </is>
      </c>
      <c r="B196" s="13" t="inlineStr">
        <is>
          <t>2026-09-02T00:02:18.454Z</t>
        </is>
      </c>
      <c r="C196" s="13" t="inlineStr">
        <is>
          <t>failed_generating_outline</t>
        </is>
      </c>
      <c r="D196" s="13" t="inlineStr">
        <is>
          <t>generating_outline</t>
        </is>
      </c>
      <c r="E196" s="13" t="inlineStr">
        <is>
          <t>ADMIN_OVERRIDE</t>
        </is>
      </c>
      <c r="F196" s="13" t="inlineStr">
        <is>
          <t>ali@meridian.ai</t>
        </is>
      </c>
      <c r="G196" s="13" t="inlineStr">
        <is>
          <t>5961c436-e583-4000-ad25-cc8e11a634ae</t>
        </is>
      </c>
    </row>
    <row r="197">
      <c r="A197" s="13" t="inlineStr">
        <is>
          <t>5961c436</t>
        </is>
      </c>
      <c r="B197" s="13" t="inlineStr">
        <is>
          <t>2026-09-02T00:07:54.964Z</t>
        </is>
      </c>
      <c r="C197" s="13" t="inlineStr">
        <is>
          <t>generating_outline</t>
        </is>
      </c>
      <c r="D197" s="13" t="inlineStr">
        <is>
          <t>generating_outline</t>
        </is>
      </c>
      <c r="E197" s="13" t="inlineStr">
        <is>
          <t>FIELDS_WRITE</t>
        </is>
      </c>
      <c r="F197" s="13" t="inlineStr">
        <is>
          <t>system@tsip.ai</t>
        </is>
      </c>
      <c r="G197" s="13" t="inlineStr">
        <is>
          <t>5961c436-e583-4000-ad25-cc8e11a634ae</t>
        </is>
      </c>
    </row>
    <row r="198">
      <c r="A198" s="13" t="inlineStr">
        <is>
          <t>5961c436</t>
        </is>
      </c>
      <c r="B198" s="13" t="inlineStr">
        <is>
          <t>2026-09-02T00:07:56.033Z</t>
        </is>
      </c>
      <c r="C198" s="13" t="inlineStr">
        <is>
          <t>generating_outline</t>
        </is>
      </c>
      <c r="D198" s="13" t="inlineStr">
        <is>
          <t>decomp_review</t>
        </is>
      </c>
      <c r="E198" s="13" t="inlineStr">
        <is>
          <t>SUBMIT_TASK_OUTLINE</t>
        </is>
      </c>
      <c r="F198" s="13" t="inlineStr">
        <is>
          <t>system@tsip.ai</t>
        </is>
      </c>
      <c r="G198" s="13" t="inlineStr">
        <is>
          <t>5961c436-e583-4000-ad25-cc8e11a634ae</t>
        </is>
      </c>
    </row>
    <row r="199">
      <c r="A199" s="13" t="inlineStr">
        <is>
          <t>5a1f3794</t>
        </is>
      </c>
      <c r="B199" s="13" t="inlineStr">
        <is>
          <t>2026-08-31T19:07:21.02Z</t>
        </is>
      </c>
      <c r="C199" s="13" t="inlineStr">
        <is>
          <t>NONE</t>
        </is>
      </c>
      <c r="D199" s="13" t="inlineStr">
        <is>
          <t>needs_decomp</t>
        </is>
      </c>
      <c r="E199" s="13" t="inlineStr">
        <is>
          <t>SPAWNED</t>
        </is>
      </c>
      <c r="F199" s="13" t="inlineStr">
        <is>
          <t>system@tsip.ai</t>
        </is>
      </c>
      <c r="G199" s="13" t="inlineStr">
        <is>
          <t>5a1f3794-1251-431a-b97d-4cf2107ffed8</t>
        </is>
      </c>
    </row>
    <row r="200">
      <c r="A200" s="13" t="inlineStr">
        <is>
          <t>5a1f3794</t>
        </is>
      </c>
      <c r="B200" s="13" t="inlineStr">
        <is>
          <t>2026-08-31T19:11:47.736Z</t>
        </is>
      </c>
      <c r="C200" s="13" t="inlineStr">
        <is>
          <t>needs_decomp</t>
        </is>
      </c>
      <c r="D200" s="13" t="inlineStr">
        <is>
          <t>needs_decomp</t>
        </is>
      </c>
      <c r="E200" s="13" t="inlineStr">
        <is>
          <t>AUTO_POOL</t>
        </is>
      </c>
      <c r="F200" s="13" t="inlineStr">
        <is>
          <t>wangche2532@gmail.com</t>
        </is>
      </c>
      <c r="G200" s="13" t="inlineStr">
        <is>
          <t>5a1f3794-1251-431a-b97d-4cf2107ffed8</t>
        </is>
      </c>
    </row>
    <row r="201">
      <c r="A201" s="13" t="inlineStr">
        <is>
          <t>5a1f3794</t>
        </is>
      </c>
      <c r="B201" s="13" t="inlineStr">
        <is>
          <t>2026-08-31T19:11:47.799Z</t>
        </is>
      </c>
      <c r="C201" s="13" t="inlineStr">
        <is>
          <t>needs_decomp</t>
        </is>
      </c>
      <c r="D201" s="13" t="inlineStr">
        <is>
          <t>decomp_complexity_check</t>
        </is>
      </c>
      <c r="E201" s="13" t="inlineStr">
        <is>
          <t>SUBMIT_DECOMP</t>
        </is>
      </c>
      <c r="F201" s="13" t="inlineStr">
        <is>
          <t>wangche2532@gmail.com</t>
        </is>
      </c>
      <c r="G201" s="13" t="inlineStr">
        <is>
          <t>5a1f3794-1251-431a-b97d-4cf2107ffed8</t>
        </is>
      </c>
    </row>
    <row r="202">
      <c r="A202" s="13" t="inlineStr">
        <is>
          <t>5a1f3794</t>
        </is>
      </c>
      <c r="B202" s="13" t="inlineStr">
        <is>
          <t>2026-08-31T19:11:56.42Z</t>
        </is>
      </c>
      <c r="C202" s="13" t="inlineStr">
        <is>
          <t>decomp_complexity_check</t>
        </is>
      </c>
      <c r="D202" s="13" t="inlineStr">
        <is>
          <t>decomp_complexity_check</t>
        </is>
      </c>
      <c r="E202" s="13" t="inlineStr">
        <is>
          <t>FIELDS_WRITE</t>
        </is>
      </c>
      <c r="F202" s="13" t="inlineStr">
        <is>
          <t>system@tsip.ai</t>
        </is>
      </c>
      <c r="G202" s="13" t="inlineStr">
        <is>
          <t>5a1f3794-1251-431a-b97d-4cf2107ffed8</t>
        </is>
      </c>
    </row>
    <row r="203">
      <c r="A203" s="13" t="inlineStr">
        <is>
          <t>5a1f3794</t>
        </is>
      </c>
      <c r="B203" s="13" t="inlineStr">
        <is>
          <t>2026-08-31T19:11:57.366Z</t>
        </is>
      </c>
      <c r="C203" s="13" t="inlineStr">
        <is>
          <t>decomp_complexity_check</t>
        </is>
      </c>
      <c r="D203" s="13" t="inlineStr">
        <is>
          <t>generating_outline</t>
        </is>
      </c>
      <c r="E203" s="13" t="inlineStr">
        <is>
          <t>COMPLEXITY_CHECK_DONE</t>
        </is>
      </c>
      <c r="F203" s="13" t="inlineStr">
        <is>
          <t>system@tsip.ai</t>
        </is>
      </c>
      <c r="G203" s="13" t="inlineStr">
        <is>
          <t>5a1f3794-1251-431a-b97d-4cf2107ffed8</t>
        </is>
      </c>
    </row>
    <row r="204">
      <c r="A204" s="13" t="inlineStr">
        <is>
          <t>5a1f3794</t>
        </is>
      </c>
      <c r="B204" s="13" t="inlineStr">
        <is>
          <t>2026-08-31T19:13:35.216Z</t>
        </is>
      </c>
      <c r="C204" s="13" t="inlineStr">
        <is>
          <t>generating_outline</t>
        </is>
      </c>
      <c r="D204" s="13" t="inlineStr">
        <is>
          <t>generating_outline</t>
        </is>
      </c>
      <c r="E204" s="13" t="inlineStr">
        <is>
          <t>FIELDS_WRITE</t>
        </is>
      </c>
      <c r="F204" s="13" t="inlineStr">
        <is>
          <t>system@tsip.ai</t>
        </is>
      </c>
      <c r="G204" s="13" t="inlineStr">
        <is>
          <t>5a1f3794-1251-431a-b97d-4cf2107ffed8</t>
        </is>
      </c>
    </row>
    <row r="205">
      <c r="A205" s="13" t="inlineStr">
        <is>
          <t>5a1f3794</t>
        </is>
      </c>
      <c r="B205" s="13" t="inlineStr">
        <is>
          <t>2026-08-31T19:13:36.389Z</t>
        </is>
      </c>
      <c r="C205" s="13" t="inlineStr">
        <is>
          <t>generating_outline</t>
        </is>
      </c>
      <c r="D205" s="13" t="inlineStr">
        <is>
          <t>decomp_review</t>
        </is>
      </c>
      <c r="E205" s="13" t="inlineStr">
        <is>
          <t>SUBMIT_TASK_OUTLINE</t>
        </is>
      </c>
      <c r="F205" s="13" t="inlineStr">
        <is>
          <t>system@tsip.ai</t>
        </is>
      </c>
      <c r="G205" s="13" t="inlineStr">
        <is>
          <t>5a1f3794-1251-431a-b97d-4cf2107ffed8</t>
        </is>
      </c>
    </row>
    <row r="206">
      <c r="A206" s="13" t="inlineStr">
        <is>
          <t>5a1f3794</t>
        </is>
      </c>
      <c r="B206" s="13" t="inlineStr">
        <is>
          <t>2026-09-01T22:55:46.277Z</t>
        </is>
      </c>
      <c r="C206" s="13" t="inlineStr">
        <is>
          <t>decomp_review</t>
        </is>
      </c>
      <c r="D206" s="13" t="inlineStr">
        <is>
          <t>generating_outline</t>
        </is>
      </c>
      <c r="E206" s="13" t="inlineStr">
        <is>
          <t>ADMIN_OVERRIDE</t>
        </is>
      </c>
      <c r="F206" s="13" t="inlineStr">
        <is>
          <t>ali@meridian.ai</t>
        </is>
      </c>
      <c r="G206" s="13" t="inlineStr">
        <is>
          <t>5a1f3794-1251-431a-b97d-4cf2107ffed8</t>
        </is>
      </c>
    </row>
    <row r="207">
      <c r="A207" s="13" t="inlineStr">
        <is>
          <t>5a1f3794</t>
        </is>
      </c>
      <c r="B207" s="13" t="inlineStr">
        <is>
          <t>2026-09-01T22:57:38.722Z</t>
        </is>
      </c>
      <c r="C207" s="13" t="inlineStr">
        <is>
          <t>generating_outline</t>
        </is>
      </c>
      <c r="D207" s="13" t="inlineStr">
        <is>
          <t>generating_outline</t>
        </is>
      </c>
      <c r="E207" s="13" t="inlineStr">
        <is>
          <t>FIELDS_WRITE</t>
        </is>
      </c>
      <c r="F207" s="13" t="inlineStr">
        <is>
          <t>system@tsip.ai</t>
        </is>
      </c>
      <c r="G207" s="13" t="inlineStr">
        <is>
          <t>5a1f3794-1251-431a-b97d-4cf2107ffed8</t>
        </is>
      </c>
    </row>
    <row r="208">
      <c r="A208" s="13" t="inlineStr">
        <is>
          <t>5a1f3794</t>
        </is>
      </c>
      <c r="B208" s="13" t="inlineStr">
        <is>
          <t>2026-09-01T22:57:39.767Z</t>
        </is>
      </c>
      <c r="C208" s="13" t="inlineStr">
        <is>
          <t>generating_outline</t>
        </is>
      </c>
      <c r="D208" s="13" t="inlineStr">
        <is>
          <t>decomp_review</t>
        </is>
      </c>
      <c r="E208" s="13" t="inlineStr">
        <is>
          <t>SUBMIT_TASK_OUTLINE</t>
        </is>
      </c>
      <c r="F208" s="13" t="inlineStr">
        <is>
          <t>system@tsip.ai</t>
        </is>
      </c>
      <c r="G208" s="13" t="inlineStr">
        <is>
          <t>5a1f3794-1251-431a-b97d-4cf2107ffed8</t>
        </is>
      </c>
    </row>
    <row r="209">
      <c r="A209" s="13" t="inlineStr">
        <is>
          <t>5da033e5</t>
        </is>
      </c>
      <c r="B209" s="13" t="inlineStr">
        <is>
          <t>2026-08-31T21:48:21.618Z</t>
        </is>
      </c>
      <c r="C209" s="13" t="inlineStr">
        <is>
          <t>NONE</t>
        </is>
      </c>
      <c r="D209" s="13" t="inlineStr">
        <is>
          <t>needs_decomp</t>
        </is>
      </c>
      <c r="E209" s="13" t="inlineStr">
        <is>
          <t>SPAWNED</t>
        </is>
      </c>
      <c r="F209" s="13" t="inlineStr">
        <is>
          <t>system@tsip.ai</t>
        </is>
      </c>
      <c r="G209" s="13" t="inlineStr">
        <is>
          <t>5da033e5-0b26-4526-afaf-8e71e57612a4</t>
        </is>
      </c>
    </row>
    <row r="210">
      <c r="A210" s="13" t="inlineStr">
        <is>
          <t>5da033e5</t>
        </is>
      </c>
      <c r="B210" s="13" t="inlineStr">
        <is>
          <t>2026-08-31T21:52:08.672Z</t>
        </is>
      </c>
      <c r="C210" s="13" t="inlineStr">
        <is>
          <t>needs_decomp</t>
        </is>
      </c>
      <c r="D210" s="13" t="inlineStr">
        <is>
          <t>needs_decomp</t>
        </is>
      </c>
      <c r="E210" s="13" t="inlineStr">
        <is>
          <t>AUTO_POOL</t>
        </is>
      </c>
      <c r="F210" s="13" t="inlineStr">
        <is>
          <t>wangche2532@gmail.com</t>
        </is>
      </c>
      <c r="G210" s="13" t="inlineStr">
        <is>
          <t>5da033e5-0b26-4526-afaf-8e71e57612a4</t>
        </is>
      </c>
    </row>
    <row r="211">
      <c r="A211" s="13" t="inlineStr">
        <is>
          <t>5da033e5</t>
        </is>
      </c>
      <c r="B211" s="13" t="inlineStr">
        <is>
          <t>2026-08-31T21:52:08.718Z</t>
        </is>
      </c>
      <c r="C211" s="13" t="inlineStr">
        <is>
          <t>needs_decomp</t>
        </is>
      </c>
      <c r="D211" s="13" t="inlineStr">
        <is>
          <t>decomp_complexity_check</t>
        </is>
      </c>
      <c r="E211" s="13" t="inlineStr">
        <is>
          <t>SUBMIT_DECOMP</t>
        </is>
      </c>
      <c r="F211" s="13" t="inlineStr">
        <is>
          <t>wangche2532@gmail.com</t>
        </is>
      </c>
      <c r="G211" s="13" t="inlineStr">
        <is>
          <t>5da033e5-0b26-4526-afaf-8e71e57612a4</t>
        </is>
      </c>
    </row>
    <row r="212">
      <c r="A212" s="13" t="inlineStr">
        <is>
          <t>5da033e5</t>
        </is>
      </c>
      <c r="B212" s="13" t="inlineStr">
        <is>
          <t>2026-08-31T21:52:18.406Z</t>
        </is>
      </c>
      <c r="C212" s="13" t="inlineStr">
        <is>
          <t>decomp_complexity_check</t>
        </is>
      </c>
      <c r="D212" s="13" t="inlineStr">
        <is>
          <t>decomp_complexity_check</t>
        </is>
      </c>
      <c r="E212" s="13" t="inlineStr">
        <is>
          <t>FIELDS_WRITE</t>
        </is>
      </c>
      <c r="F212" s="13" t="inlineStr">
        <is>
          <t>system@tsip.ai</t>
        </is>
      </c>
      <c r="G212" s="13" t="inlineStr">
        <is>
          <t>5da033e5-0b26-4526-afaf-8e71e57612a4</t>
        </is>
      </c>
    </row>
    <row r="213">
      <c r="A213" s="13" t="inlineStr">
        <is>
          <t>5da033e5</t>
        </is>
      </c>
      <c r="B213" s="13" t="inlineStr">
        <is>
          <t>2026-08-31T21:52:19.244Z</t>
        </is>
      </c>
      <c r="C213" s="13" t="inlineStr">
        <is>
          <t>decomp_complexity_check</t>
        </is>
      </c>
      <c r="D213" s="13" t="inlineStr">
        <is>
          <t>generating_outline</t>
        </is>
      </c>
      <c r="E213" s="13" t="inlineStr">
        <is>
          <t>COMPLEXITY_CHECK_DONE</t>
        </is>
      </c>
      <c r="F213" s="13" t="inlineStr">
        <is>
          <t>system@tsip.ai</t>
        </is>
      </c>
      <c r="G213" s="13" t="inlineStr">
        <is>
          <t>5da033e5-0b26-4526-afaf-8e71e57612a4</t>
        </is>
      </c>
    </row>
    <row r="214">
      <c r="A214" s="13" t="inlineStr">
        <is>
          <t>5da033e5</t>
        </is>
      </c>
      <c r="B214" s="13" t="inlineStr">
        <is>
          <t>2026-08-31T21:53:20.205Z</t>
        </is>
      </c>
      <c r="C214" s="13" t="inlineStr">
        <is>
          <t>generating_outline</t>
        </is>
      </c>
      <c r="D214" s="13" t="inlineStr">
        <is>
          <t>decomp_review</t>
        </is>
      </c>
      <c r="E214" s="13" t="inlineStr">
        <is>
          <t>SUBMIT_TASK_OUTLINE</t>
        </is>
      </c>
      <c r="F214" s="13" t="inlineStr">
        <is>
          <t>system@tsip.ai</t>
        </is>
      </c>
      <c r="G214" s="13" t="inlineStr">
        <is>
          <t>5da033e5-0b26-4526-afaf-8e71e57612a4</t>
        </is>
      </c>
    </row>
    <row r="215">
      <c r="A215" s="13" t="inlineStr">
        <is>
          <t>5da033e5</t>
        </is>
      </c>
      <c r="B215" s="13" t="inlineStr">
        <is>
          <t>2026-09-01T21:57:03.973Z</t>
        </is>
      </c>
      <c r="C215" s="13" t="inlineStr">
        <is>
          <t>decomp_review</t>
        </is>
      </c>
      <c r="D215" s="13" t="inlineStr">
        <is>
          <t>generating_outline</t>
        </is>
      </c>
      <c r="E215" s="13" t="inlineStr">
        <is>
          <t>ADMIN_OVERRIDE</t>
        </is>
      </c>
      <c r="F215" s="13" t="inlineStr">
        <is>
          <t>ali@meridian.ai</t>
        </is>
      </c>
      <c r="G215" s="13" t="inlineStr">
        <is>
          <t>5da033e5-0b26-4526-afaf-8e71e57612a4</t>
        </is>
      </c>
    </row>
    <row r="216">
      <c r="A216" s="13" t="inlineStr">
        <is>
          <t>5da033e5</t>
        </is>
      </c>
      <c r="B216" s="13" t="inlineStr">
        <is>
          <t>2026-09-01T21:58:47.881Z</t>
        </is>
      </c>
      <c r="C216" s="13" t="inlineStr">
        <is>
          <t>generating_outline</t>
        </is>
      </c>
      <c r="D216" s="13" t="inlineStr">
        <is>
          <t>generating_outline</t>
        </is>
      </c>
      <c r="E216" s="13" t="inlineStr">
        <is>
          <t>FIELDS_WRITE</t>
        </is>
      </c>
      <c r="F216" s="13" t="inlineStr">
        <is>
          <t>system@tsip.ai</t>
        </is>
      </c>
      <c r="G216" s="13" t="inlineStr">
        <is>
          <t>5da033e5-0b26-4526-afaf-8e71e57612a4</t>
        </is>
      </c>
    </row>
    <row r="217">
      <c r="A217" s="13" t="inlineStr">
        <is>
          <t>5da033e5</t>
        </is>
      </c>
      <c r="B217" s="13" t="inlineStr">
        <is>
          <t>2026-09-01T21:58:49.237Z</t>
        </is>
      </c>
      <c r="C217" s="13" t="inlineStr">
        <is>
          <t>generating_outline</t>
        </is>
      </c>
      <c r="D217" s="13" t="inlineStr">
        <is>
          <t>decomp_review</t>
        </is>
      </c>
      <c r="E217" s="13" t="inlineStr">
        <is>
          <t>SUBMIT_TASK_OUTLINE</t>
        </is>
      </c>
      <c r="F217" s="13" t="inlineStr">
        <is>
          <t>system@tsip.ai</t>
        </is>
      </c>
      <c r="G217" s="13" t="inlineStr">
        <is>
          <t>5da033e5-0b26-4526-afaf-8e71e57612a4</t>
        </is>
      </c>
    </row>
    <row r="218">
      <c r="A218" s="13" t="inlineStr">
        <is>
          <t>62d0dff1</t>
        </is>
      </c>
      <c r="B218" s="13" t="inlineStr">
        <is>
          <t>2026-08-31T15:13:36.983Z</t>
        </is>
      </c>
      <c r="C218" s="13" t="inlineStr">
        <is>
          <t>NONE</t>
        </is>
      </c>
      <c r="D218" s="13" t="inlineStr">
        <is>
          <t>needs_decomp</t>
        </is>
      </c>
      <c r="E218" s="13" t="inlineStr">
        <is>
          <t>SPAWNED</t>
        </is>
      </c>
      <c r="F218" s="13" t="inlineStr">
        <is>
          <t>system@tsip.ai</t>
        </is>
      </c>
      <c r="G218" s="13" t="inlineStr">
        <is>
          <t>62d0dff1-ef18-40ae-879c-f7dd0fc7a67e</t>
        </is>
      </c>
    </row>
    <row r="219">
      <c r="A219" s="13" t="inlineStr">
        <is>
          <t>62d0dff1</t>
        </is>
      </c>
      <c r="B219" s="13" t="inlineStr">
        <is>
          <t>2026-08-31T15:16:44.814Z</t>
        </is>
      </c>
      <c r="C219" s="13" t="inlineStr">
        <is>
          <t>needs_decomp</t>
        </is>
      </c>
      <c r="D219" s="13" t="inlineStr">
        <is>
          <t>needs_decomp</t>
        </is>
      </c>
      <c r="E219" s="13" t="inlineStr">
        <is>
          <t>AUTO_POOL</t>
        </is>
      </c>
      <c r="F219" s="13" t="inlineStr">
        <is>
          <t>wangche2532@gmail.com</t>
        </is>
      </c>
      <c r="G219" s="13" t="inlineStr">
        <is>
          <t>62d0dff1-ef18-40ae-879c-f7dd0fc7a67e</t>
        </is>
      </c>
    </row>
    <row r="220">
      <c r="A220" s="13" t="inlineStr">
        <is>
          <t>62d0dff1</t>
        </is>
      </c>
      <c r="B220" s="13" t="inlineStr">
        <is>
          <t>2026-08-31T15:16:44.85Z</t>
        </is>
      </c>
      <c r="C220" s="13" t="inlineStr">
        <is>
          <t>needs_decomp</t>
        </is>
      </c>
      <c r="D220" s="13" t="inlineStr">
        <is>
          <t>decomp_complexity_check</t>
        </is>
      </c>
      <c r="E220" s="13" t="inlineStr">
        <is>
          <t>SUBMIT_DECOMP</t>
        </is>
      </c>
      <c r="F220" s="13" t="inlineStr">
        <is>
          <t>wangche2532@gmail.com</t>
        </is>
      </c>
      <c r="G220" s="13" t="inlineStr">
        <is>
          <t>62d0dff1-ef18-40ae-879c-f7dd0fc7a67e</t>
        </is>
      </c>
    </row>
    <row r="221">
      <c r="A221" s="13" t="inlineStr">
        <is>
          <t>62d0dff1</t>
        </is>
      </c>
      <c r="B221" s="13" t="inlineStr">
        <is>
          <t>2026-08-31T15:16:53.521Z</t>
        </is>
      </c>
      <c r="C221" s="13" t="inlineStr">
        <is>
          <t>decomp_complexity_check</t>
        </is>
      </c>
      <c r="D221" s="13" t="inlineStr">
        <is>
          <t>decomp_complexity_check</t>
        </is>
      </c>
      <c r="E221" s="13" t="inlineStr">
        <is>
          <t>FIELDS_WRITE</t>
        </is>
      </c>
      <c r="F221" s="13" t="inlineStr">
        <is>
          <t>system@tsip.ai</t>
        </is>
      </c>
      <c r="G221" s="13" t="inlineStr">
        <is>
          <t>62d0dff1-ef18-40ae-879c-f7dd0fc7a67e</t>
        </is>
      </c>
    </row>
    <row r="222">
      <c r="A222" s="13" t="inlineStr">
        <is>
          <t>62d0dff1</t>
        </is>
      </c>
      <c r="B222" s="13" t="inlineStr">
        <is>
          <t>2026-08-31T15:16:54.593Z</t>
        </is>
      </c>
      <c r="C222" s="13" t="inlineStr">
        <is>
          <t>decomp_complexity_check</t>
        </is>
      </c>
      <c r="D222" s="13" t="inlineStr">
        <is>
          <t>generating_outline</t>
        </is>
      </c>
      <c r="E222" s="13" t="inlineStr">
        <is>
          <t>COMPLEXITY_CHECK_DONE</t>
        </is>
      </c>
      <c r="F222" s="13" t="inlineStr">
        <is>
          <t>system@tsip.ai</t>
        </is>
      </c>
      <c r="G222" s="13" t="inlineStr">
        <is>
          <t>62d0dff1-ef18-40ae-879c-f7dd0fc7a67e</t>
        </is>
      </c>
    </row>
    <row r="223">
      <c r="A223" s="13" t="inlineStr">
        <is>
          <t>62d0dff1</t>
        </is>
      </c>
      <c r="B223" s="13" t="inlineStr">
        <is>
          <t>2026-08-31T15:17:37.499Z</t>
        </is>
      </c>
      <c r="C223" s="13" t="inlineStr">
        <is>
          <t>generating_outline</t>
        </is>
      </c>
      <c r="D223" s="13" t="inlineStr">
        <is>
          <t>decomp_review</t>
        </is>
      </c>
      <c r="E223" s="13" t="inlineStr">
        <is>
          <t>SUBMIT_TASK_OUTLINE</t>
        </is>
      </c>
      <c r="F223" s="13" t="inlineStr">
        <is>
          <t>system@tsip.ai</t>
        </is>
      </c>
      <c r="G223" s="13" t="inlineStr">
        <is>
          <t>62d0dff1-ef18-40ae-879c-f7dd0fc7a67e</t>
        </is>
      </c>
    </row>
    <row r="224">
      <c r="A224" s="13" t="inlineStr">
        <is>
          <t>62d0dff1</t>
        </is>
      </c>
      <c r="B224" s="13" t="inlineStr">
        <is>
          <t>2026-09-01T21:57:07.24Z</t>
        </is>
      </c>
      <c r="C224" s="13" t="inlineStr">
        <is>
          <t>decomp_review</t>
        </is>
      </c>
      <c r="D224" s="13" t="inlineStr">
        <is>
          <t>generating_outline</t>
        </is>
      </c>
      <c r="E224" s="13" t="inlineStr">
        <is>
          <t>ADMIN_OVERRIDE</t>
        </is>
      </c>
      <c r="F224" s="13" t="inlineStr">
        <is>
          <t>ali@meridian.ai</t>
        </is>
      </c>
      <c r="G224" s="13" t="inlineStr">
        <is>
          <t>62d0dff1-ef18-40ae-879c-f7dd0fc7a67e</t>
        </is>
      </c>
    </row>
    <row r="225">
      <c r="A225" s="13" t="inlineStr">
        <is>
          <t>62d0dff1</t>
        </is>
      </c>
      <c r="B225" s="13" t="inlineStr">
        <is>
          <t>2026-09-01T21:59:28.688Z</t>
        </is>
      </c>
      <c r="C225" s="13" t="inlineStr">
        <is>
          <t>generating_outline</t>
        </is>
      </c>
      <c r="D225" s="13" t="inlineStr">
        <is>
          <t>generating_outline</t>
        </is>
      </c>
      <c r="E225" s="13" t="inlineStr">
        <is>
          <t>FIELDS_WRITE</t>
        </is>
      </c>
      <c r="F225" s="13" t="inlineStr">
        <is>
          <t>system@tsip.ai</t>
        </is>
      </c>
      <c r="G225" s="13" t="inlineStr">
        <is>
          <t>62d0dff1-ef18-40ae-879c-f7dd0fc7a67e</t>
        </is>
      </c>
    </row>
    <row r="226">
      <c r="A226" s="13" t="inlineStr">
        <is>
          <t>62d0dff1</t>
        </is>
      </c>
      <c r="B226" s="13" t="inlineStr">
        <is>
          <t>2026-09-01T21:59:29.857Z</t>
        </is>
      </c>
      <c r="C226" s="13" t="inlineStr">
        <is>
          <t>generating_outline</t>
        </is>
      </c>
      <c r="D226" s="13" t="inlineStr">
        <is>
          <t>decomp_review</t>
        </is>
      </c>
      <c r="E226" s="13" t="inlineStr">
        <is>
          <t>SUBMIT_TASK_OUTLINE</t>
        </is>
      </c>
      <c r="F226" s="13" t="inlineStr">
        <is>
          <t>system@tsip.ai</t>
        </is>
      </c>
      <c r="G226" s="13" t="inlineStr">
        <is>
          <t>62d0dff1-ef18-40ae-879c-f7dd0fc7a67e</t>
        </is>
      </c>
    </row>
    <row r="227">
      <c r="A227" s="13" t="inlineStr">
        <is>
          <t>69633abd</t>
        </is>
      </c>
      <c r="B227" s="13" t="inlineStr">
        <is>
          <t>2026-08-28T13:31:16.2Z</t>
        </is>
      </c>
      <c r="C227" s="13" t="inlineStr">
        <is>
          <t>NONE</t>
        </is>
      </c>
      <c r="D227" s="13" t="inlineStr">
        <is>
          <t>needs_decomp</t>
        </is>
      </c>
      <c r="E227" s="13" t="inlineStr">
        <is>
          <t>SPAWNED</t>
        </is>
      </c>
      <c r="F227" s="13" t="inlineStr">
        <is>
          <t>system@tsip.ai</t>
        </is>
      </c>
      <c r="G227" s="13" t="inlineStr">
        <is>
          <t>69633abd-f051-404b-81ac-eff6a9593427</t>
        </is>
      </c>
    </row>
    <row r="228">
      <c r="A228" s="13" t="inlineStr">
        <is>
          <t>69633abd</t>
        </is>
      </c>
      <c r="B228" s="13" t="inlineStr">
        <is>
          <t>2026-08-28T13:34:56.836Z</t>
        </is>
      </c>
      <c r="C228" s="13" t="inlineStr">
        <is>
          <t>needs_decomp</t>
        </is>
      </c>
      <c r="D228" s="13" t="inlineStr">
        <is>
          <t>needs_decomp</t>
        </is>
      </c>
      <c r="E228" s="13" t="inlineStr">
        <is>
          <t>AUTO_POOL</t>
        </is>
      </c>
      <c r="F228" s="13" t="inlineStr">
        <is>
          <t>apathy@uchicago.edu</t>
        </is>
      </c>
      <c r="G228" s="13" t="inlineStr">
        <is>
          <t>69633abd-f051-404b-81ac-eff6a9593427</t>
        </is>
      </c>
    </row>
    <row r="229">
      <c r="A229" s="13" t="inlineStr">
        <is>
          <t>69633abd</t>
        </is>
      </c>
      <c r="B229" s="13" t="inlineStr">
        <is>
          <t>2026-08-28T13:34:56.878Z</t>
        </is>
      </c>
      <c r="C229" s="13" t="inlineStr">
        <is>
          <t>needs_decomp</t>
        </is>
      </c>
      <c r="D229" s="13" t="inlineStr">
        <is>
          <t>decomp_complexity_check</t>
        </is>
      </c>
      <c r="E229" s="13" t="inlineStr">
        <is>
          <t>SUBMIT_DECOMP</t>
        </is>
      </c>
      <c r="F229" s="13" t="inlineStr">
        <is>
          <t>apathy@uchicago.edu</t>
        </is>
      </c>
      <c r="G229" s="13" t="inlineStr">
        <is>
          <t>69633abd-f051-404b-81ac-eff6a9593427</t>
        </is>
      </c>
    </row>
    <row r="230">
      <c r="A230" s="13" t="inlineStr">
        <is>
          <t>69633abd</t>
        </is>
      </c>
      <c r="B230" s="13" t="inlineStr">
        <is>
          <t>2026-08-28T13:35:04.013Z</t>
        </is>
      </c>
      <c r="C230" s="13" t="inlineStr">
        <is>
          <t>decomp_complexity_check</t>
        </is>
      </c>
      <c r="D230" s="13" t="inlineStr">
        <is>
          <t>decomp_complexity_check</t>
        </is>
      </c>
      <c r="E230" s="13" t="inlineStr">
        <is>
          <t>FIELDS_WRITE</t>
        </is>
      </c>
      <c r="F230" s="13" t="inlineStr">
        <is>
          <t>system@tsip.ai</t>
        </is>
      </c>
      <c r="G230" s="13" t="inlineStr">
        <is>
          <t>69633abd-f051-404b-81ac-eff6a9593427</t>
        </is>
      </c>
    </row>
    <row r="231">
      <c r="A231" s="13" t="inlineStr">
        <is>
          <t>69633abd</t>
        </is>
      </c>
      <c r="B231" s="13" t="inlineStr">
        <is>
          <t>2026-08-28T13:35:04.623Z</t>
        </is>
      </c>
      <c r="C231" s="13" t="inlineStr">
        <is>
          <t>decomp_complexity_check</t>
        </is>
      </c>
      <c r="D231" s="13" t="inlineStr">
        <is>
          <t>generating_outline</t>
        </is>
      </c>
      <c r="E231" s="13" t="inlineStr">
        <is>
          <t>COMPLEXITY_CHECK_DONE</t>
        </is>
      </c>
      <c r="F231" s="13" t="inlineStr">
        <is>
          <t>system@tsip.ai</t>
        </is>
      </c>
      <c r="G231" s="13" t="inlineStr">
        <is>
          <t>69633abd-f051-404b-81ac-eff6a9593427</t>
        </is>
      </c>
    </row>
    <row r="232">
      <c r="A232" s="13" t="inlineStr">
        <is>
          <t>69633abd</t>
        </is>
      </c>
      <c r="B232" s="13" t="inlineStr">
        <is>
          <t>2026-08-28T13:38:02.163Z</t>
        </is>
      </c>
      <c r="C232" s="13" t="inlineStr">
        <is>
          <t>generating_outline</t>
        </is>
      </c>
      <c r="D232" s="13" t="inlineStr">
        <is>
          <t>generating_outline</t>
        </is>
      </c>
      <c r="E232" s="13" t="inlineStr">
        <is>
          <t>FIELDS_WRITE</t>
        </is>
      </c>
      <c r="F232" s="13" t="inlineStr">
        <is>
          <t>system@tsip.ai</t>
        </is>
      </c>
      <c r="G232" s="13" t="inlineStr">
        <is>
          <t>69633abd-f051-404b-81ac-eff6a9593427</t>
        </is>
      </c>
    </row>
    <row r="233">
      <c r="A233" s="13" t="inlineStr">
        <is>
          <t>69633abd</t>
        </is>
      </c>
      <c r="B233" s="13" t="inlineStr">
        <is>
          <t>2026-08-28T13:38:03.524Z</t>
        </is>
      </c>
      <c r="C233" s="13" t="inlineStr">
        <is>
          <t>generating_outline</t>
        </is>
      </c>
      <c r="D233" s="13" t="inlineStr">
        <is>
          <t>decomp_review</t>
        </is>
      </c>
      <c r="E233" s="13" t="inlineStr">
        <is>
          <t>SUBMIT_TASK_OUTLINE</t>
        </is>
      </c>
      <c r="F233" s="13" t="inlineStr">
        <is>
          <t>system@tsip.ai</t>
        </is>
      </c>
      <c r="G233" s="13" t="inlineStr">
        <is>
          <t>69633abd-f051-404b-81ac-eff6a9593427</t>
        </is>
      </c>
    </row>
    <row r="234">
      <c r="A234" s="13" t="inlineStr">
        <is>
          <t>69633abd</t>
        </is>
      </c>
      <c r="B234" s="13" t="inlineStr">
        <is>
          <t>2026-08-31T12:35:13.307Z</t>
        </is>
      </c>
      <c r="C234" s="13" t="inlineStr">
        <is>
          <t>decomp_review</t>
        </is>
      </c>
      <c r="D234" s="13" t="inlineStr">
        <is>
          <t>generating_outline</t>
        </is>
      </c>
      <c r="E234" s="13" t="inlineStr">
        <is>
          <t>ADMIN_OVERRIDE</t>
        </is>
      </c>
      <c r="F234" s="13" t="inlineStr">
        <is>
          <t>leo@meridian.ai</t>
        </is>
      </c>
      <c r="G234" s="13" t="inlineStr">
        <is>
          <t>69633abd-f051-404b-81ac-eff6a9593427</t>
        </is>
      </c>
    </row>
    <row r="235">
      <c r="A235" s="13" t="inlineStr">
        <is>
          <t>69633abd</t>
        </is>
      </c>
      <c r="B235" s="13" t="inlineStr">
        <is>
          <t>2026-08-31T12:37:15.233Z</t>
        </is>
      </c>
      <c r="C235" s="13" t="inlineStr">
        <is>
          <t>generating_outline</t>
        </is>
      </c>
      <c r="D235" s="13" t="inlineStr">
        <is>
          <t>decomp_review</t>
        </is>
      </c>
      <c r="E235" s="13" t="inlineStr">
        <is>
          <t>SUBMIT_TASK_OUTLINE</t>
        </is>
      </c>
      <c r="F235" s="13" t="inlineStr">
        <is>
          <t>system@tsip.ai</t>
        </is>
      </c>
      <c r="G235" s="13" t="inlineStr">
        <is>
          <t>69633abd-f051-404b-81ac-eff6a9593427</t>
        </is>
      </c>
    </row>
    <row r="236">
      <c r="A236" s="13" t="inlineStr">
        <is>
          <t>69633abd</t>
        </is>
      </c>
      <c r="B236" s="13" t="inlineStr">
        <is>
          <t>2026-08-31T14:22:40.526Z</t>
        </is>
      </c>
      <c r="C236" s="13" t="inlineStr">
        <is>
          <t>decomp_review</t>
        </is>
      </c>
      <c r="D236" s="13" t="inlineStr">
        <is>
          <t>generating_outline</t>
        </is>
      </c>
      <c r="E236" s="13" t="inlineStr">
        <is>
          <t>ADMIN_OVERRIDE</t>
        </is>
      </c>
      <c r="F236" s="13" t="inlineStr">
        <is>
          <t>rishi@meridian.ai</t>
        </is>
      </c>
      <c r="G236" s="13" t="inlineStr">
        <is>
          <t>69633abd-f051-404b-81ac-eff6a9593427</t>
        </is>
      </c>
    </row>
    <row r="237">
      <c r="A237" s="13" t="inlineStr">
        <is>
          <t>69633abd</t>
        </is>
      </c>
      <c r="B237" s="13" t="inlineStr">
        <is>
          <t>2026-08-31T14:28:23.624Z</t>
        </is>
      </c>
      <c r="C237" s="13" t="inlineStr">
        <is>
          <t>generating_outline</t>
        </is>
      </c>
      <c r="D237" s="13" t="inlineStr">
        <is>
          <t>generating_outline</t>
        </is>
      </c>
      <c r="E237" s="13" t="inlineStr">
        <is>
          <t>FIELDS_WRITE</t>
        </is>
      </c>
      <c r="F237" s="13" t="inlineStr">
        <is>
          <t>system@tsip.ai</t>
        </is>
      </c>
      <c r="G237" s="13" t="inlineStr">
        <is>
          <t>69633abd-f051-404b-81ac-eff6a9593427</t>
        </is>
      </c>
    </row>
    <row r="238">
      <c r="A238" s="13" t="inlineStr">
        <is>
          <t>69633abd</t>
        </is>
      </c>
      <c r="B238" s="13" t="inlineStr">
        <is>
          <t>2026-08-31T14:28:24.715Z</t>
        </is>
      </c>
      <c r="C238" s="13" t="inlineStr">
        <is>
          <t>generating_outline</t>
        </is>
      </c>
      <c r="D238" s="13" t="inlineStr">
        <is>
          <t>decomp_review</t>
        </is>
      </c>
      <c r="E238" s="13" t="inlineStr">
        <is>
          <t>SUBMIT_TASK_OUTLINE</t>
        </is>
      </c>
      <c r="F238" s="13" t="inlineStr">
        <is>
          <t>system@tsip.ai</t>
        </is>
      </c>
      <c r="G238" s="13" t="inlineStr">
        <is>
          <t>69633abd-f051-404b-81ac-eff6a9593427</t>
        </is>
      </c>
    </row>
    <row r="239">
      <c r="A239" s="13" t="inlineStr">
        <is>
          <t>69633abd</t>
        </is>
      </c>
      <c r="B239" s="13" t="inlineStr">
        <is>
          <t>2026-09-01T22:55:46.634Z</t>
        </is>
      </c>
      <c r="C239" s="13" t="inlineStr">
        <is>
          <t>decomp_review</t>
        </is>
      </c>
      <c r="D239" s="13" t="inlineStr">
        <is>
          <t>generating_outline</t>
        </is>
      </c>
      <c r="E239" s="13" t="inlineStr">
        <is>
          <t>ADMIN_OVERRIDE</t>
        </is>
      </c>
      <c r="F239" s="13" t="inlineStr">
        <is>
          <t>ali@meridian.ai</t>
        </is>
      </c>
      <c r="G239" s="13" t="inlineStr">
        <is>
          <t>69633abd-f051-404b-81ac-eff6a9593427</t>
        </is>
      </c>
    </row>
    <row r="240">
      <c r="A240" s="13" t="inlineStr">
        <is>
          <t>69633abd</t>
        </is>
      </c>
      <c r="B240" s="13" t="inlineStr">
        <is>
          <t>2026-09-01T22:58:37.492Z</t>
        </is>
      </c>
      <c r="C240" s="13" t="inlineStr">
        <is>
          <t>generating_outline</t>
        </is>
      </c>
      <c r="D240" s="13" t="inlineStr">
        <is>
          <t>generating_outline</t>
        </is>
      </c>
      <c r="E240" s="13" t="inlineStr">
        <is>
          <t>FIELDS_WRITE</t>
        </is>
      </c>
      <c r="F240" s="13" t="inlineStr">
        <is>
          <t>system@tsip.ai</t>
        </is>
      </c>
      <c r="G240" s="13" t="inlineStr">
        <is>
          <t>69633abd-f051-404b-81ac-eff6a9593427</t>
        </is>
      </c>
    </row>
    <row r="241">
      <c r="A241" s="13" t="inlineStr">
        <is>
          <t>69633abd</t>
        </is>
      </c>
      <c r="B241" s="13" t="inlineStr">
        <is>
          <t>2026-09-01T22:58:38.534Z</t>
        </is>
      </c>
      <c r="C241" s="13" t="inlineStr">
        <is>
          <t>generating_outline</t>
        </is>
      </c>
      <c r="D241" s="13" t="inlineStr">
        <is>
          <t>decomp_review</t>
        </is>
      </c>
      <c r="E241" s="13" t="inlineStr">
        <is>
          <t>SUBMIT_TASK_OUTLINE</t>
        </is>
      </c>
      <c r="F241" s="13" t="inlineStr">
        <is>
          <t>system@tsip.ai</t>
        </is>
      </c>
      <c r="G241" s="13" t="inlineStr">
        <is>
          <t>69633abd-f051-404b-81ac-eff6a9593427</t>
        </is>
      </c>
    </row>
    <row r="242">
      <c r="A242" s="13" t="inlineStr">
        <is>
          <t>7215fd35</t>
        </is>
      </c>
      <c r="B242" s="13" t="inlineStr">
        <is>
          <t>2026-09-01T18:17:38.239Z</t>
        </is>
      </c>
      <c r="C242" s="13" t="inlineStr">
        <is>
          <t>NONE</t>
        </is>
      </c>
      <c r="D242" s="13" t="inlineStr">
        <is>
          <t>needs_decomp</t>
        </is>
      </c>
      <c r="E242" s="13" t="inlineStr">
        <is>
          <t>SPAWNED</t>
        </is>
      </c>
      <c r="F242" s="13" t="inlineStr">
        <is>
          <t>system@tsip.ai</t>
        </is>
      </c>
      <c r="G242" s="13" t="inlineStr">
        <is>
          <t>7215fd35-f477-44af-b6f1-b38348ebe264</t>
        </is>
      </c>
    </row>
    <row r="243">
      <c r="A243" s="13" t="inlineStr">
        <is>
          <t>7215fd35</t>
        </is>
      </c>
      <c r="B243" s="13" t="inlineStr">
        <is>
          <t>2026-09-01T18:21:31.073Z</t>
        </is>
      </c>
      <c r="C243" s="13" t="inlineStr">
        <is>
          <t>needs_decomp</t>
        </is>
      </c>
      <c r="D243" s="13" t="inlineStr">
        <is>
          <t>needs_decomp</t>
        </is>
      </c>
      <c r="E243" s="13" t="inlineStr">
        <is>
          <t>AUTO_POOL</t>
        </is>
      </c>
      <c r="F243" s="13" t="inlineStr">
        <is>
          <t>alec.tseung@toptal.com</t>
        </is>
      </c>
      <c r="G243" s="13" t="inlineStr">
        <is>
          <t>7215fd35-f477-44af-b6f1-b38348ebe264</t>
        </is>
      </c>
    </row>
    <row r="244">
      <c r="A244" s="13" t="inlineStr">
        <is>
          <t>7215fd35</t>
        </is>
      </c>
      <c r="B244" s="13" t="inlineStr">
        <is>
          <t>2026-09-01T18:21:31.115Z</t>
        </is>
      </c>
      <c r="C244" s="13" t="inlineStr">
        <is>
          <t>needs_decomp</t>
        </is>
      </c>
      <c r="D244" s="13" t="inlineStr">
        <is>
          <t>decomp_complexity_check</t>
        </is>
      </c>
      <c r="E244" s="13" t="inlineStr">
        <is>
          <t>SUBMIT_DECOMP</t>
        </is>
      </c>
      <c r="F244" s="13" t="inlineStr">
        <is>
          <t>alec.tseung@toptal.com</t>
        </is>
      </c>
      <c r="G244" s="13" t="inlineStr">
        <is>
          <t>7215fd35-f477-44af-b6f1-b38348ebe264</t>
        </is>
      </c>
    </row>
    <row r="245">
      <c r="A245" s="13" t="inlineStr">
        <is>
          <t>7215fd35</t>
        </is>
      </c>
      <c r="B245" s="13" t="inlineStr">
        <is>
          <t>2026-09-01T18:21:58.954Z</t>
        </is>
      </c>
      <c r="C245" s="13" t="inlineStr">
        <is>
          <t>decomp_complexity_check</t>
        </is>
      </c>
      <c r="D245" s="13" t="inlineStr">
        <is>
          <t>decomp_complexity_check</t>
        </is>
      </c>
      <c r="E245" s="13" t="inlineStr">
        <is>
          <t>FIELDS_WRITE</t>
        </is>
      </c>
      <c r="F245" s="13" t="inlineStr">
        <is>
          <t>system@tsip.ai</t>
        </is>
      </c>
      <c r="G245" s="13" t="inlineStr">
        <is>
          <t>7215fd35-f477-44af-b6f1-b38348ebe264</t>
        </is>
      </c>
    </row>
    <row r="246">
      <c r="A246" s="13" t="inlineStr">
        <is>
          <t>7215fd35</t>
        </is>
      </c>
      <c r="B246" s="13" t="inlineStr">
        <is>
          <t>2026-09-01T18:22:01.196Z</t>
        </is>
      </c>
      <c r="C246" s="13" t="inlineStr">
        <is>
          <t>decomp_complexity_check</t>
        </is>
      </c>
      <c r="D246" s="13" t="inlineStr">
        <is>
          <t>generating_outline</t>
        </is>
      </c>
      <c r="E246" s="13" t="inlineStr">
        <is>
          <t>COMPLEXITY_CHECK_DONE</t>
        </is>
      </c>
      <c r="F246" s="13" t="inlineStr">
        <is>
          <t>system@tsip.ai</t>
        </is>
      </c>
      <c r="G246" s="13" t="inlineStr">
        <is>
          <t>7215fd35-f477-44af-b6f1-b38348ebe264</t>
        </is>
      </c>
    </row>
    <row r="247">
      <c r="A247" s="13" t="inlineStr">
        <is>
          <t>7215fd35</t>
        </is>
      </c>
      <c r="B247" s="13" t="inlineStr">
        <is>
          <t>2026-09-01T18:24:35.355Z</t>
        </is>
      </c>
      <c r="C247" s="13" t="inlineStr">
        <is>
          <t>generating_outline</t>
        </is>
      </c>
      <c r="D247" s="13" t="inlineStr">
        <is>
          <t>decomp_review</t>
        </is>
      </c>
      <c r="E247" s="13" t="inlineStr">
        <is>
          <t>SUBMIT_TASK_OUTLINE</t>
        </is>
      </c>
      <c r="F247" s="13" t="inlineStr">
        <is>
          <t>system@tsip.ai</t>
        </is>
      </c>
      <c r="G247" s="13" t="inlineStr">
        <is>
          <t>7215fd35-f477-44af-b6f1-b38348ebe264</t>
        </is>
      </c>
    </row>
    <row r="248">
      <c r="A248" s="13" t="inlineStr">
        <is>
          <t>7215fd35</t>
        </is>
      </c>
      <c r="B248" s="13" t="inlineStr">
        <is>
          <t>2026-09-01T21:57:06.414Z</t>
        </is>
      </c>
      <c r="C248" s="13" t="inlineStr">
        <is>
          <t>decomp_review</t>
        </is>
      </c>
      <c r="D248" s="13" t="inlineStr">
        <is>
          <t>generating_outline</t>
        </is>
      </c>
      <c r="E248" s="13" t="inlineStr">
        <is>
          <t>ADMIN_OVERRIDE</t>
        </is>
      </c>
      <c r="F248" s="13" t="inlineStr">
        <is>
          <t>ali@meridian.ai</t>
        </is>
      </c>
      <c r="G248" s="13" t="inlineStr">
        <is>
          <t>7215fd35-f477-44af-b6f1-b38348ebe264</t>
        </is>
      </c>
    </row>
    <row r="249">
      <c r="A249" s="13" t="inlineStr">
        <is>
          <t>7215fd35</t>
        </is>
      </c>
      <c r="B249" s="13" t="inlineStr">
        <is>
          <t>2026-09-01T21:58:26.611Z</t>
        </is>
      </c>
      <c r="C249" s="13" t="inlineStr">
        <is>
          <t>generating_outline</t>
        </is>
      </c>
      <c r="D249" s="13" t="inlineStr">
        <is>
          <t>decomp_review</t>
        </is>
      </c>
      <c r="E249" s="13" t="inlineStr">
        <is>
          <t>SUBMIT_TASK_OUTLINE</t>
        </is>
      </c>
      <c r="F249" s="13" t="inlineStr">
        <is>
          <t>system@tsip.ai</t>
        </is>
      </c>
      <c r="G249" s="13" t="inlineStr">
        <is>
          <t>7215fd35-f477-44af-b6f1-b38348ebe264</t>
        </is>
      </c>
    </row>
    <row r="250">
      <c r="A250" s="13" t="inlineStr">
        <is>
          <t>79036bd8</t>
        </is>
      </c>
      <c r="B250" s="13" t="inlineStr">
        <is>
          <t>2026-08-31T21:09:23.475Z</t>
        </is>
      </c>
      <c r="C250" s="13" t="inlineStr">
        <is>
          <t>NONE</t>
        </is>
      </c>
      <c r="D250" s="13" t="inlineStr">
        <is>
          <t>needs_decomp</t>
        </is>
      </c>
      <c r="E250" s="13" t="inlineStr">
        <is>
          <t>SPAWNED</t>
        </is>
      </c>
      <c r="F250" s="13" t="inlineStr">
        <is>
          <t>system@tsip.ai</t>
        </is>
      </c>
      <c r="G250" s="13" t="inlineStr">
        <is>
          <t>79036bd8-09a6-44ef-a84d-8985ace5476e</t>
        </is>
      </c>
    </row>
    <row r="251">
      <c r="A251" s="13" t="inlineStr">
        <is>
          <t>79036bd8</t>
        </is>
      </c>
      <c r="B251" s="13" t="inlineStr">
        <is>
          <t>2026-08-31T21:11:06.418Z</t>
        </is>
      </c>
      <c r="C251" s="13" t="inlineStr">
        <is>
          <t>needs_decomp</t>
        </is>
      </c>
      <c r="D251" s="13" t="inlineStr">
        <is>
          <t>needs_decomp</t>
        </is>
      </c>
      <c r="E251" s="13" t="inlineStr">
        <is>
          <t>AUTO_POOL</t>
        </is>
      </c>
      <c r="F251" s="13" t="inlineStr">
        <is>
          <t>alec.tseung@toptal.com</t>
        </is>
      </c>
      <c r="G251" s="13" t="inlineStr">
        <is>
          <t>79036bd8-09a6-44ef-a84d-8985ace5476e</t>
        </is>
      </c>
    </row>
    <row r="252">
      <c r="A252" s="13" t="inlineStr">
        <is>
          <t>79036bd8</t>
        </is>
      </c>
      <c r="B252" s="13" t="inlineStr">
        <is>
          <t>2026-08-31T21:11:06.469Z</t>
        </is>
      </c>
      <c r="C252" s="13" t="inlineStr">
        <is>
          <t>needs_decomp</t>
        </is>
      </c>
      <c r="D252" s="13" t="inlineStr">
        <is>
          <t>decomp_complexity_check</t>
        </is>
      </c>
      <c r="E252" s="13" t="inlineStr">
        <is>
          <t>SUBMIT_DECOMP</t>
        </is>
      </c>
      <c r="F252" s="13" t="inlineStr">
        <is>
          <t>alec.tseung@toptal.com</t>
        </is>
      </c>
      <c r="G252" s="13" t="inlineStr">
        <is>
          <t>79036bd8-09a6-44ef-a84d-8985ace5476e</t>
        </is>
      </c>
    </row>
    <row r="253">
      <c r="A253" s="13" t="inlineStr">
        <is>
          <t>79036bd8</t>
        </is>
      </c>
      <c r="B253" s="13" t="inlineStr">
        <is>
          <t>2026-08-31T21:11:15.268Z</t>
        </is>
      </c>
      <c r="C253" s="13" t="inlineStr">
        <is>
          <t>decomp_complexity_check</t>
        </is>
      </c>
      <c r="D253" s="13" t="inlineStr">
        <is>
          <t>decomp_complexity_check</t>
        </is>
      </c>
      <c r="E253" s="13" t="inlineStr">
        <is>
          <t>FIELDS_WRITE</t>
        </is>
      </c>
      <c r="F253" s="13" t="inlineStr">
        <is>
          <t>system@tsip.ai</t>
        </is>
      </c>
      <c r="G253" s="13" t="inlineStr">
        <is>
          <t>79036bd8-09a6-44ef-a84d-8985ace5476e</t>
        </is>
      </c>
    </row>
    <row r="254">
      <c r="A254" s="13" t="inlineStr">
        <is>
          <t>79036bd8</t>
        </is>
      </c>
      <c r="B254" s="13" t="inlineStr">
        <is>
          <t>2026-08-31T21:11:16.252Z</t>
        </is>
      </c>
      <c r="C254" s="13" t="inlineStr">
        <is>
          <t>decomp_complexity_check</t>
        </is>
      </c>
      <c r="D254" s="13" t="inlineStr">
        <is>
          <t>generating_outline</t>
        </is>
      </c>
      <c r="E254" s="13" t="inlineStr">
        <is>
          <t>COMPLEXITY_CHECK_DONE</t>
        </is>
      </c>
      <c r="F254" s="13" t="inlineStr">
        <is>
          <t>system@tsip.ai</t>
        </is>
      </c>
      <c r="G254" s="13" t="inlineStr">
        <is>
          <t>79036bd8-09a6-44ef-a84d-8985ace5476e</t>
        </is>
      </c>
    </row>
    <row r="255">
      <c r="A255" s="13" t="inlineStr">
        <is>
          <t>79036bd8</t>
        </is>
      </c>
      <c r="B255" s="13" t="inlineStr">
        <is>
          <t>2026-08-31T21:12:31.05Z</t>
        </is>
      </c>
      <c r="C255" s="13" t="inlineStr">
        <is>
          <t>generating_outline</t>
        </is>
      </c>
      <c r="D255" s="13" t="inlineStr">
        <is>
          <t>generating_outline</t>
        </is>
      </c>
      <c r="E255" s="13" t="inlineStr">
        <is>
          <t>FIELDS_WRITE</t>
        </is>
      </c>
      <c r="F255" s="13" t="inlineStr">
        <is>
          <t>system@tsip.ai</t>
        </is>
      </c>
      <c r="G255" s="13" t="inlineStr">
        <is>
          <t>79036bd8-09a6-44ef-a84d-8985ace5476e</t>
        </is>
      </c>
    </row>
    <row r="256">
      <c r="A256" s="13" t="inlineStr">
        <is>
          <t>79036bd8</t>
        </is>
      </c>
      <c r="B256" s="13" t="inlineStr">
        <is>
          <t>2026-08-31T21:12:32.204Z</t>
        </is>
      </c>
      <c r="C256" s="13" t="inlineStr">
        <is>
          <t>generating_outline</t>
        </is>
      </c>
      <c r="D256" s="13" t="inlineStr">
        <is>
          <t>decomp_review</t>
        </is>
      </c>
      <c r="E256" s="13" t="inlineStr">
        <is>
          <t>SUBMIT_TASK_OUTLINE</t>
        </is>
      </c>
      <c r="F256" s="13" t="inlineStr">
        <is>
          <t>system@tsip.ai</t>
        </is>
      </c>
      <c r="G256" s="13" t="inlineStr">
        <is>
          <t>79036bd8-09a6-44ef-a84d-8985ace5476e</t>
        </is>
      </c>
    </row>
    <row r="257">
      <c r="A257" s="13" t="inlineStr">
        <is>
          <t>79036bd8</t>
        </is>
      </c>
      <c r="B257" s="13" t="inlineStr">
        <is>
          <t>2026-09-01T22:55:46.783Z</t>
        </is>
      </c>
      <c r="C257" s="13" t="inlineStr">
        <is>
          <t>decomp_review</t>
        </is>
      </c>
      <c r="D257" s="13" t="inlineStr">
        <is>
          <t>generating_outline</t>
        </is>
      </c>
      <c r="E257" s="13" t="inlineStr">
        <is>
          <t>ADMIN_OVERRIDE</t>
        </is>
      </c>
      <c r="F257" s="13" t="inlineStr">
        <is>
          <t>ali@meridian.ai</t>
        </is>
      </c>
      <c r="G257" s="13" t="inlineStr">
        <is>
          <t>79036bd8-09a6-44ef-a84d-8985ace5476e</t>
        </is>
      </c>
    </row>
    <row r="258">
      <c r="A258" s="13" t="inlineStr">
        <is>
          <t>79036bd8</t>
        </is>
      </c>
      <c r="B258" s="13" t="inlineStr">
        <is>
          <t>2026-09-01T22:57:37.082Z</t>
        </is>
      </c>
      <c r="C258" s="13" t="inlineStr">
        <is>
          <t>generating_outline</t>
        </is>
      </c>
      <c r="D258" s="13" t="inlineStr">
        <is>
          <t>generating_outline</t>
        </is>
      </c>
      <c r="E258" s="13" t="inlineStr">
        <is>
          <t>FIELDS_WRITE</t>
        </is>
      </c>
      <c r="F258" s="13" t="inlineStr">
        <is>
          <t>system@tsip.ai</t>
        </is>
      </c>
      <c r="G258" s="13" t="inlineStr">
        <is>
          <t>79036bd8-09a6-44ef-a84d-8985ace5476e</t>
        </is>
      </c>
    </row>
    <row r="259">
      <c r="A259" s="13" t="inlineStr">
        <is>
          <t>79036bd8</t>
        </is>
      </c>
      <c r="B259" s="13" t="inlineStr">
        <is>
          <t>2026-09-01T22:57:38.077Z</t>
        </is>
      </c>
      <c r="C259" s="13" t="inlineStr">
        <is>
          <t>generating_outline</t>
        </is>
      </c>
      <c r="D259" s="13" t="inlineStr">
        <is>
          <t>decomp_review</t>
        </is>
      </c>
      <c r="E259" s="13" t="inlineStr">
        <is>
          <t>SUBMIT_TASK_OUTLINE</t>
        </is>
      </c>
      <c r="F259" s="13" t="inlineStr">
        <is>
          <t>system@tsip.ai</t>
        </is>
      </c>
      <c r="G259" s="13" t="inlineStr">
        <is>
          <t>79036bd8-09a6-44ef-a84d-8985ace5476e</t>
        </is>
      </c>
    </row>
    <row r="260">
      <c r="A260" s="13" t="inlineStr">
        <is>
          <t>7b4c773f</t>
        </is>
      </c>
      <c r="B260" s="13" t="inlineStr">
        <is>
          <t>2026-09-01T15:02:57.45Z</t>
        </is>
      </c>
      <c r="C260" s="13" t="inlineStr">
        <is>
          <t>NONE</t>
        </is>
      </c>
      <c r="D260" s="13" t="inlineStr">
        <is>
          <t>needs_decomp</t>
        </is>
      </c>
      <c r="E260" s="13" t="inlineStr">
        <is>
          <t>SPAWNED</t>
        </is>
      </c>
      <c r="F260" s="13" t="inlineStr">
        <is>
          <t>system@tsip.ai</t>
        </is>
      </c>
      <c r="G260" s="13" t="inlineStr">
        <is>
          <t>7b4c773f-02c0-42cf-a37b-04b6773b86c0</t>
        </is>
      </c>
    </row>
    <row r="261">
      <c r="A261" s="13" t="inlineStr">
        <is>
          <t>7b4c773f</t>
        </is>
      </c>
      <c r="B261" s="13" t="inlineStr">
        <is>
          <t>2026-09-01T15:05:48.197Z</t>
        </is>
      </c>
      <c r="C261" s="13" t="inlineStr">
        <is>
          <t>needs_decomp</t>
        </is>
      </c>
      <c r="D261" s="13" t="inlineStr">
        <is>
          <t>needs_decomp</t>
        </is>
      </c>
      <c r="E261" s="13" t="inlineStr">
        <is>
          <t>AUTO_POOL</t>
        </is>
      </c>
      <c r="F261" s="13" t="inlineStr">
        <is>
          <t>apathy@uchicago.edu</t>
        </is>
      </c>
      <c r="G261" s="13" t="inlineStr">
        <is>
          <t>7b4c773f-02c0-42cf-a37b-04b6773b86c0</t>
        </is>
      </c>
    </row>
    <row r="262">
      <c r="A262" s="13" t="inlineStr">
        <is>
          <t>7b4c773f</t>
        </is>
      </c>
      <c r="B262" s="13" t="inlineStr">
        <is>
          <t>2026-09-01T15:05:48.229Z</t>
        </is>
      </c>
      <c r="C262" s="13" t="inlineStr">
        <is>
          <t>needs_decomp</t>
        </is>
      </c>
      <c r="D262" s="13" t="inlineStr">
        <is>
          <t>decomp_complexity_check</t>
        </is>
      </c>
      <c r="E262" s="13" t="inlineStr">
        <is>
          <t>SUBMIT_DECOMP</t>
        </is>
      </c>
      <c r="F262" s="13" t="inlineStr">
        <is>
          <t>apathy@uchicago.edu</t>
        </is>
      </c>
      <c r="G262" s="13" t="inlineStr">
        <is>
          <t>7b4c773f-02c0-42cf-a37b-04b6773b86c0</t>
        </is>
      </c>
    </row>
    <row r="263">
      <c r="A263" s="13" t="inlineStr">
        <is>
          <t>7b4c773f</t>
        </is>
      </c>
      <c r="B263" s="13" t="inlineStr">
        <is>
          <t>2026-09-01T15:06:00.572Z</t>
        </is>
      </c>
      <c r="C263" s="13" t="inlineStr">
        <is>
          <t>decomp_complexity_check</t>
        </is>
      </c>
      <c r="D263" s="13" t="inlineStr">
        <is>
          <t>decomp_complexity_check</t>
        </is>
      </c>
      <c r="E263" s="13" t="inlineStr">
        <is>
          <t>FIELDS_WRITE</t>
        </is>
      </c>
      <c r="F263" s="13" t="inlineStr">
        <is>
          <t>system@tsip.ai</t>
        </is>
      </c>
      <c r="G263" s="13" t="inlineStr">
        <is>
          <t>7b4c773f-02c0-42cf-a37b-04b6773b86c0</t>
        </is>
      </c>
    </row>
    <row r="264">
      <c r="A264" s="13" t="inlineStr">
        <is>
          <t>7b4c773f</t>
        </is>
      </c>
      <c r="B264" s="13" t="inlineStr">
        <is>
          <t>2026-09-01T15:06:01.442Z</t>
        </is>
      </c>
      <c r="C264" s="13" t="inlineStr">
        <is>
          <t>decomp_complexity_check</t>
        </is>
      </c>
      <c r="D264" s="13" t="inlineStr">
        <is>
          <t>generating_outline</t>
        </is>
      </c>
      <c r="E264" s="13" t="inlineStr">
        <is>
          <t>COMPLEXITY_CHECK_DONE</t>
        </is>
      </c>
      <c r="F264" s="13" t="inlineStr">
        <is>
          <t>system@tsip.ai</t>
        </is>
      </c>
      <c r="G264" s="13" t="inlineStr">
        <is>
          <t>7b4c773f-02c0-42cf-a37b-04b6773b86c0</t>
        </is>
      </c>
    </row>
    <row r="265">
      <c r="A265" s="13" t="inlineStr">
        <is>
          <t>7b4c773f</t>
        </is>
      </c>
      <c r="B265" s="13" t="inlineStr">
        <is>
          <t>2026-09-01T15:06:54.879Z</t>
        </is>
      </c>
      <c r="C265" s="13" t="inlineStr">
        <is>
          <t>generating_outline</t>
        </is>
      </c>
      <c r="D265" s="13" t="inlineStr">
        <is>
          <t>decomp_review</t>
        </is>
      </c>
      <c r="E265" s="13" t="inlineStr">
        <is>
          <t>SUBMIT_TASK_OUTLINE</t>
        </is>
      </c>
      <c r="F265" s="13" t="inlineStr">
        <is>
          <t>system@tsip.ai</t>
        </is>
      </c>
      <c r="G265" s="13" t="inlineStr">
        <is>
          <t>7b4c773f-02c0-42cf-a37b-04b6773b86c0</t>
        </is>
      </c>
    </row>
    <row r="266">
      <c r="A266" s="13" t="inlineStr">
        <is>
          <t>7b4c773f</t>
        </is>
      </c>
      <c r="B266" s="13" t="inlineStr">
        <is>
          <t>2026-09-01T21:57:04.916Z</t>
        </is>
      </c>
      <c r="C266" s="13" t="inlineStr">
        <is>
          <t>decomp_review</t>
        </is>
      </c>
      <c r="D266" s="13" t="inlineStr">
        <is>
          <t>generating_outline</t>
        </is>
      </c>
      <c r="E266" s="13" t="inlineStr">
        <is>
          <t>ADMIN_OVERRIDE</t>
        </is>
      </c>
      <c r="F266" s="13" t="inlineStr">
        <is>
          <t>ali@meridian.ai</t>
        </is>
      </c>
      <c r="G266" s="13" t="inlineStr">
        <is>
          <t>7b4c773f-02c0-42cf-a37b-04b6773b86c0</t>
        </is>
      </c>
    </row>
    <row r="267">
      <c r="A267" s="13" t="inlineStr">
        <is>
          <t>7b4c773f</t>
        </is>
      </c>
      <c r="B267" s="13" t="inlineStr">
        <is>
          <t>2026-09-01T22:00:13.574Z</t>
        </is>
      </c>
      <c r="C267" s="13" t="inlineStr">
        <is>
          <t>generating_outline</t>
        </is>
      </c>
      <c r="D267" s="13" t="inlineStr">
        <is>
          <t>generating_outline</t>
        </is>
      </c>
      <c r="E267" s="13" t="inlineStr">
        <is>
          <t>FIELDS_WRITE</t>
        </is>
      </c>
      <c r="F267" s="13" t="inlineStr">
        <is>
          <t>system@tsip.ai</t>
        </is>
      </c>
      <c r="G267" s="13" t="inlineStr">
        <is>
          <t>7b4c773f-02c0-42cf-a37b-04b6773b86c0</t>
        </is>
      </c>
    </row>
    <row r="268">
      <c r="A268" s="13" t="inlineStr">
        <is>
          <t>7b4c773f</t>
        </is>
      </c>
      <c r="B268" s="13" t="inlineStr">
        <is>
          <t>2026-09-01T22:00:14.612Z</t>
        </is>
      </c>
      <c r="C268" s="13" t="inlineStr">
        <is>
          <t>generating_outline</t>
        </is>
      </c>
      <c r="D268" s="13" t="inlineStr">
        <is>
          <t>decomp_review</t>
        </is>
      </c>
      <c r="E268" s="13" t="inlineStr">
        <is>
          <t>SUBMIT_TASK_OUTLINE</t>
        </is>
      </c>
      <c r="F268" s="13" t="inlineStr">
        <is>
          <t>system@tsip.ai</t>
        </is>
      </c>
      <c r="G268" s="13" t="inlineStr">
        <is>
          <t>7b4c773f-02c0-42cf-a37b-04b6773b86c0</t>
        </is>
      </c>
    </row>
    <row r="269">
      <c r="A269" s="13" t="inlineStr">
        <is>
          <t>87a8cf29</t>
        </is>
      </c>
      <c r="B269" s="13" t="inlineStr">
        <is>
          <t>2026-09-01T15:16:01.957Z</t>
        </is>
      </c>
      <c r="C269" s="13" t="inlineStr">
        <is>
          <t>NONE</t>
        </is>
      </c>
      <c r="D269" s="13" t="inlineStr">
        <is>
          <t>needs_decomp</t>
        </is>
      </c>
      <c r="E269" s="13" t="inlineStr">
        <is>
          <t>SPAWNED</t>
        </is>
      </c>
      <c r="F269" s="13" t="inlineStr">
        <is>
          <t>system@tsip.ai</t>
        </is>
      </c>
      <c r="G269" s="13" t="inlineStr">
        <is>
          <t>87a8cf29-f488-4921-98df-9fbb785aa0b0</t>
        </is>
      </c>
    </row>
    <row r="270">
      <c r="A270" s="13" t="inlineStr">
        <is>
          <t>87a8cf29</t>
        </is>
      </c>
      <c r="B270" s="13" t="inlineStr">
        <is>
          <t>2026-09-01T15:21:59.658Z</t>
        </is>
      </c>
      <c r="C270" s="13" t="inlineStr">
        <is>
          <t>needs_decomp</t>
        </is>
      </c>
      <c r="D270" s="13" t="inlineStr">
        <is>
          <t>needs_decomp</t>
        </is>
      </c>
      <c r="E270" s="13" t="inlineStr">
        <is>
          <t>AUTO_POOL</t>
        </is>
      </c>
      <c r="F270" s="13" t="inlineStr">
        <is>
          <t>apathy@uchicago.edu</t>
        </is>
      </c>
      <c r="G270" s="13" t="inlineStr">
        <is>
          <t>87a8cf29-f488-4921-98df-9fbb785aa0b0</t>
        </is>
      </c>
    </row>
    <row r="271">
      <c r="A271" s="13" t="inlineStr">
        <is>
          <t>87a8cf29</t>
        </is>
      </c>
      <c r="B271" s="13" t="inlineStr">
        <is>
          <t>2026-09-01T15:21:59.699Z</t>
        </is>
      </c>
      <c r="C271" s="13" t="inlineStr">
        <is>
          <t>needs_decomp</t>
        </is>
      </c>
      <c r="D271" s="13" t="inlineStr">
        <is>
          <t>decomp_complexity_check</t>
        </is>
      </c>
      <c r="E271" s="13" t="inlineStr">
        <is>
          <t>SUBMIT_DECOMP</t>
        </is>
      </c>
      <c r="F271" s="13" t="inlineStr">
        <is>
          <t>apathy@uchicago.edu</t>
        </is>
      </c>
      <c r="G271" s="13" t="inlineStr">
        <is>
          <t>87a8cf29-f488-4921-98df-9fbb785aa0b0</t>
        </is>
      </c>
    </row>
    <row r="272">
      <c r="A272" s="13" t="inlineStr">
        <is>
          <t>87a8cf29</t>
        </is>
      </c>
      <c r="B272" s="13" t="inlineStr">
        <is>
          <t>2026-09-01T15:22:11.625Z</t>
        </is>
      </c>
      <c r="C272" s="13" t="inlineStr">
        <is>
          <t>decomp_complexity_check</t>
        </is>
      </c>
      <c r="D272" s="13" t="inlineStr">
        <is>
          <t>decomp_complexity_check</t>
        </is>
      </c>
      <c r="E272" s="13" t="inlineStr">
        <is>
          <t>FIELDS_WRITE</t>
        </is>
      </c>
      <c r="F272" s="13" t="inlineStr">
        <is>
          <t>system@tsip.ai</t>
        </is>
      </c>
      <c r="G272" s="13" t="inlineStr">
        <is>
          <t>87a8cf29-f488-4921-98df-9fbb785aa0b0</t>
        </is>
      </c>
    </row>
    <row r="273">
      <c r="A273" s="13" t="inlineStr">
        <is>
          <t>87a8cf29</t>
        </is>
      </c>
      <c r="B273" s="13" t="inlineStr">
        <is>
          <t>2026-09-01T15:22:12.591Z</t>
        </is>
      </c>
      <c r="C273" s="13" t="inlineStr">
        <is>
          <t>decomp_complexity_check</t>
        </is>
      </c>
      <c r="D273" s="13" t="inlineStr">
        <is>
          <t>generating_outline</t>
        </is>
      </c>
      <c r="E273" s="13" t="inlineStr">
        <is>
          <t>COMPLEXITY_CHECK_DONE</t>
        </is>
      </c>
      <c r="F273" s="13" t="inlineStr">
        <is>
          <t>system@tsip.ai</t>
        </is>
      </c>
      <c r="G273" s="13" t="inlineStr">
        <is>
          <t>87a8cf29-f488-4921-98df-9fbb785aa0b0</t>
        </is>
      </c>
    </row>
    <row r="274">
      <c r="A274" s="13" t="inlineStr">
        <is>
          <t>87a8cf29</t>
        </is>
      </c>
      <c r="B274" s="13" t="inlineStr">
        <is>
          <t>2026-09-01T15:23:11.603Z</t>
        </is>
      </c>
      <c r="C274" s="13" t="inlineStr">
        <is>
          <t>generating_outline</t>
        </is>
      </c>
      <c r="D274" s="13" t="inlineStr">
        <is>
          <t>decomp_review</t>
        </is>
      </c>
      <c r="E274" s="13" t="inlineStr">
        <is>
          <t>SUBMIT_TASK_OUTLINE</t>
        </is>
      </c>
      <c r="F274" s="13" t="inlineStr">
        <is>
          <t>system@tsip.ai</t>
        </is>
      </c>
      <c r="G274" s="13" t="inlineStr">
        <is>
          <t>87a8cf29-f488-4921-98df-9fbb785aa0b0</t>
        </is>
      </c>
    </row>
    <row r="275">
      <c r="A275" s="13" t="inlineStr">
        <is>
          <t>87a8cf29</t>
        </is>
      </c>
      <c r="B275" s="13" t="inlineStr">
        <is>
          <t>2026-09-01T21:57:05.193Z</t>
        </is>
      </c>
      <c r="C275" s="13" t="inlineStr">
        <is>
          <t>decomp_review</t>
        </is>
      </c>
      <c r="D275" s="13" t="inlineStr">
        <is>
          <t>generating_outline</t>
        </is>
      </c>
      <c r="E275" s="13" t="inlineStr">
        <is>
          <t>ADMIN_OVERRIDE</t>
        </is>
      </c>
      <c r="F275" s="13" t="inlineStr">
        <is>
          <t>ali@meridian.ai</t>
        </is>
      </c>
      <c r="G275" s="13" t="inlineStr">
        <is>
          <t>87a8cf29-f488-4921-98df-9fbb785aa0b0</t>
        </is>
      </c>
    </row>
    <row r="276">
      <c r="A276" s="13" t="inlineStr">
        <is>
          <t>87a8cf29</t>
        </is>
      </c>
      <c r="B276" s="13" t="inlineStr">
        <is>
          <t>2026-09-01T22:00:21.971Z</t>
        </is>
      </c>
      <c r="C276" s="13" t="inlineStr">
        <is>
          <t>generating_outline</t>
        </is>
      </c>
      <c r="D276" s="13" t="inlineStr">
        <is>
          <t>generating_outline</t>
        </is>
      </c>
      <c r="E276" s="13" t="inlineStr">
        <is>
          <t>FIELDS_WRITE</t>
        </is>
      </c>
      <c r="F276" s="13" t="inlineStr">
        <is>
          <t>system@tsip.ai</t>
        </is>
      </c>
      <c r="G276" s="13" t="inlineStr">
        <is>
          <t>87a8cf29-f488-4921-98df-9fbb785aa0b0</t>
        </is>
      </c>
    </row>
    <row r="277">
      <c r="A277" s="13" t="inlineStr">
        <is>
          <t>87a8cf29</t>
        </is>
      </c>
      <c r="B277" s="13" t="inlineStr">
        <is>
          <t>2026-09-01T22:00:23.705Z</t>
        </is>
      </c>
      <c r="C277" s="13" t="inlineStr">
        <is>
          <t>generating_outline</t>
        </is>
      </c>
      <c r="D277" s="13" t="inlineStr">
        <is>
          <t>decomp_review</t>
        </is>
      </c>
      <c r="E277" s="13" t="inlineStr">
        <is>
          <t>SUBMIT_TASK_OUTLINE</t>
        </is>
      </c>
      <c r="F277" s="13" t="inlineStr">
        <is>
          <t>system@tsip.ai</t>
        </is>
      </c>
      <c r="G277" s="13" t="inlineStr">
        <is>
          <t>87a8cf29-f488-4921-98df-9fbb785aa0b0</t>
        </is>
      </c>
    </row>
    <row r="278">
      <c r="A278" s="13" t="inlineStr">
        <is>
          <t>8a8066ff</t>
        </is>
      </c>
      <c r="B278" s="13" t="inlineStr">
        <is>
          <t>2026-09-01T18:22:00.341Z</t>
        </is>
      </c>
      <c r="C278" s="13" t="inlineStr">
        <is>
          <t>NONE</t>
        </is>
      </c>
      <c r="D278" s="13" t="inlineStr">
        <is>
          <t>needs_decomp</t>
        </is>
      </c>
      <c r="E278" s="13" t="inlineStr">
        <is>
          <t>SPAWNED</t>
        </is>
      </c>
      <c r="F278" s="13" t="inlineStr">
        <is>
          <t>system@tsip.ai</t>
        </is>
      </c>
      <c r="G278" s="13" t="inlineStr">
        <is>
          <t>8a8066ff-7624-4fc5-981f-52a666b28967</t>
        </is>
      </c>
    </row>
    <row r="279">
      <c r="A279" s="13" t="inlineStr">
        <is>
          <t>8a8066ff</t>
        </is>
      </c>
      <c r="B279" s="13" t="inlineStr">
        <is>
          <t>2026-09-01T18:26:35.186Z</t>
        </is>
      </c>
      <c r="C279" s="13" t="inlineStr">
        <is>
          <t>needs_decomp</t>
        </is>
      </c>
      <c r="D279" s="13" t="inlineStr">
        <is>
          <t>needs_decomp</t>
        </is>
      </c>
      <c r="E279" s="13" t="inlineStr">
        <is>
          <t>AUTO_POOL</t>
        </is>
      </c>
      <c r="F279" s="13" t="inlineStr">
        <is>
          <t>alec.tseung@toptal.com</t>
        </is>
      </c>
      <c r="G279" s="13" t="inlineStr">
        <is>
          <t>8a8066ff-7624-4fc5-981f-52a666b28967</t>
        </is>
      </c>
    </row>
    <row r="280">
      <c r="A280" s="13" t="inlineStr">
        <is>
          <t>8a8066ff</t>
        </is>
      </c>
      <c r="B280" s="13" t="inlineStr">
        <is>
          <t>2026-09-01T18:26:35.239Z</t>
        </is>
      </c>
      <c r="C280" s="13" t="inlineStr">
        <is>
          <t>needs_decomp</t>
        </is>
      </c>
      <c r="D280" s="13" t="inlineStr">
        <is>
          <t>decomp_complexity_check</t>
        </is>
      </c>
      <c r="E280" s="13" t="inlineStr">
        <is>
          <t>SUBMIT_DECOMP</t>
        </is>
      </c>
      <c r="F280" s="13" t="inlineStr">
        <is>
          <t>alec.tseung@toptal.com</t>
        </is>
      </c>
      <c r="G280" s="13" t="inlineStr">
        <is>
          <t>8a8066ff-7624-4fc5-981f-52a666b28967</t>
        </is>
      </c>
    </row>
    <row r="281">
      <c r="A281" s="13" t="inlineStr">
        <is>
          <t>8a8066ff</t>
        </is>
      </c>
      <c r="B281" s="13" t="inlineStr">
        <is>
          <t>2026-09-01T18:26:58.566Z</t>
        </is>
      </c>
      <c r="C281" s="13" t="inlineStr">
        <is>
          <t>decomp_complexity_check</t>
        </is>
      </c>
      <c r="D281" s="13" t="inlineStr">
        <is>
          <t>decomp_complexity_check</t>
        </is>
      </c>
      <c r="E281" s="13" t="inlineStr">
        <is>
          <t>FIELDS_WRITE</t>
        </is>
      </c>
      <c r="F281" s="13" t="inlineStr">
        <is>
          <t>system@tsip.ai</t>
        </is>
      </c>
      <c r="G281" s="13" t="inlineStr">
        <is>
          <t>8a8066ff-7624-4fc5-981f-52a666b28967</t>
        </is>
      </c>
    </row>
    <row r="282">
      <c r="A282" s="13" t="inlineStr">
        <is>
          <t>8a8066ff</t>
        </is>
      </c>
      <c r="B282" s="13" t="inlineStr">
        <is>
          <t>2026-09-01T18:27:00.077Z</t>
        </is>
      </c>
      <c r="C282" s="13" t="inlineStr">
        <is>
          <t>decomp_complexity_check</t>
        </is>
      </c>
      <c r="D282" s="13" t="inlineStr">
        <is>
          <t>generating_outline</t>
        </is>
      </c>
      <c r="E282" s="13" t="inlineStr">
        <is>
          <t>COMPLEXITY_CHECK_DONE</t>
        </is>
      </c>
      <c r="F282" s="13" t="inlineStr">
        <is>
          <t>system@tsip.ai</t>
        </is>
      </c>
      <c r="G282" s="13" t="inlineStr">
        <is>
          <t>8a8066ff-7624-4fc5-981f-52a666b28967</t>
        </is>
      </c>
    </row>
    <row r="283">
      <c r="A283" s="13" t="inlineStr">
        <is>
          <t>8a8066ff</t>
        </is>
      </c>
      <c r="B283" s="13" t="inlineStr">
        <is>
          <t>2026-09-01T18:36:53.305Z</t>
        </is>
      </c>
      <c r="C283" s="13" t="inlineStr">
        <is>
          <t>generating_outline</t>
        </is>
      </c>
      <c r="D283" s="13" t="inlineStr">
        <is>
          <t>decomp_review</t>
        </is>
      </c>
      <c r="E283" s="13" t="inlineStr">
        <is>
          <t>SUBMIT_TASK_OUTLINE</t>
        </is>
      </c>
      <c r="F283" s="13" t="inlineStr">
        <is>
          <t>system@tsip.ai</t>
        </is>
      </c>
      <c r="G283" s="13" t="inlineStr">
        <is>
          <t>8a8066ff-7624-4fc5-981f-52a666b28967</t>
        </is>
      </c>
    </row>
    <row r="284">
      <c r="A284" s="13" t="inlineStr">
        <is>
          <t>8a8066ff</t>
        </is>
      </c>
      <c r="B284" s="13" t="inlineStr">
        <is>
          <t>2026-09-01T21:57:06.558Z</t>
        </is>
      </c>
      <c r="C284" s="13" t="inlineStr">
        <is>
          <t>decomp_review</t>
        </is>
      </c>
      <c r="D284" s="13" t="inlineStr">
        <is>
          <t>generating_outline</t>
        </is>
      </c>
      <c r="E284" s="13" t="inlineStr">
        <is>
          <t>ADMIN_OVERRIDE</t>
        </is>
      </c>
      <c r="F284" s="13" t="inlineStr">
        <is>
          <t>ali@meridian.ai</t>
        </is>
      </c>
      <c r="G284" s="13" t="inlineStr">
        <is>
          <t>8a8066ff-7624-4fc5-981f-52a666b28967</t>
        </is>
      </c>
    </row>
    <row r="285">
      <c r="A285" s="13" t="inlineStr">
        <is>
          <t>8a8066ff</t>
        </is>
      </c>
      <c r="B285" s="13" t="inlineStr">
        <is>
          <t>2026-09-01T22:07:54.988Z</t>
        </is>
      </c>
      <c r="C285" s="13" t="inlineStr">
        <is>
          <t>generating_outline</t>
        </is>
      </c>
      <c r="D285" s="13" t="inlineStr">
        <is>
          <t>decomp_review</t>
        </is>
      </c>
      <c r="E285" s="13" t="inlineStr">
        <is>
          <t>SUBMIT_TASK_OUTLINE</t>
        </is>
      </c>
      <c r="F285" s="13" t="inlineStr">
        <is>
          <t>system@tsip.ai</t>
        </is>
      </c>
      <c r="G285" s="13" t="inlineStr">
        <is>
          <t>8a8066ff-7624-4fc5-981f-52a666b28967</t>
        </is>
      </c>
    </row>
    <row r="286">
      <c r="A286" s="13" t="inlineStr">
        <is>
          <t>8c19520c</t>
        </is>
      </c>
      <c r="B286" s="13" t="inlineStr">
        <is>
          <t>2026-08-31T16:37:06.661Z</t>
        </is>
      </c>
      <c r="C286" s="13" t="inlineStr">
        <is>
          <t>NONE</t>
        </is>
      </c>
      <c r="D286" s="13" t="inlineStr">
        <is>
          <t>needs_decomp</t>
        </is>
      </c>
      <c r="E286" s="13" t="inlineStr">
        <is>
          <t>SPAWNED</t>
        </is>
      </c>
      <c r="F286" s="13" t="inlineStr">
        <is>
          <t>system@tsip.ai</t>
        </is>
      </c>
      <c r="G286" s="13" t="inlineStr">
        <is>
          <t>8c19520c-b2d2-449b-a1f8-b426e81df053</t>
        </is>
      </c>
    </row>
    <row r="287">
      <c r="A287" s="13" t="inlineStr">
        <is>
          <t>8c19520c</t>
        </is>
      </c>
      <c r="B287" s="13" t="inlineStr">
        <is>
          <t>2026-08-31T17:25:25.421Z</t>
        </is>
      </c>
      <c r="C287" s="13" t="inlineStr">
        <is>
          <t>needs_decomp</t>
        </is>
      </c>
      <c r="D287" s="13" t="inlineStr">
        <is>
          <t>needs_decomp</t>
        </is>
      </c>
      <c r="E287" s="13" t="inlineStr">
        <is>
          <t>AUTO_POOL</t>
        </is>
      </c>
      <c r="F287" s="13" t="inlineStr">
        <is>
          <t>wangche2532@gmail.com</t>
        </is>
      </c>
      <c r="G287" s="13" t="inlineStr">
        <is>
          <t>8c19520c-b2d2-449b-a1f8-b426e81df053</t>
        </is>
      </c>
    </row>
    <row r="288">
      <c r="A288" s="13" t="inlineStr">
        <is>
          <t>8c19520c</t>
        </is>
      </c>
      <c r="B288" s="13" t="inlineStr">
        <is>
          <t>2026-08-31T17:25:25.457Z</t>
        </is>
      </c>
      <c r="C288" s="13" t="inlineStr">
        <is>
          <t>needs_decomp</t>
        </is>
      </c>
      <c r="D288" s="13" t="inlineStr">
        <is>
          <t>decomp_complexity_check</t>
        </is>
      </c>
      <c r="E288" s="13" t="inlineStr">
        <is>
          <t>SUBMIT_DECOMP</t>
        </is>
      </c>
      <c r="F288" s="13" t="inlineStr">
        <is>
          <t>wangche2532@gmail.com</t>
        </is>
      </c>
      <c r="G288" s="13" t="inlineStr">
        <is>
          <t>8c19520c-b2d2-449b-a1f8-b426e81df053</t>
        </is>
      </c>
    </row>
    <row r="289">
      <c r="A289" s="13" t="inlineStr">
        <is>
          <t>8c19520c</t>
        </is>
      </c>
      <c r="B289" s="13" t="inlineStr">
        <is>
          <t>2026-08-31T17:25:38.578Z</t>
        </is>
      </c>
      <c r="C289" s="13" t="inlineStr">
        <is>
          <t>decomp_complexity_check</t>
        </is>
      </c>
      <c r="D289" s="13" t="inlineStr">
        <is>
          <t>decomp_complexity_check</t>
        </is>
      </c>
      <c r="E289" s="13" t="inlineStr">
        <is>
          <t>FIELDS_WRITE</t>
        </is>
      </c>
      <c r="F289" s="13" t="inlineStr">
        <is>
          <t>system@tsip.ai</t>
        </is>
      </c>
      <c r="G289" s="13" t="inlineStr">
        <is>
          <t>8c19520c-b2d2-449b-a1f8-b426e81df053</t>
        </is>
      </c>
    </row>
    <row r="290">
      <c r="A290" s="13" t="inlineStr">
        <is>
          <t>8c19520c</t>
        </is>
      </c>
      <c r="B290" s="13" t="inlineStr">
        <is>
          <t>2026-08-31T17:25:40.152Z</t>
        </is>
      </c>
      <c r="C290" s="13" t="inlineStr">
        <is>
          <t>decomp_complexity_check</t>
        </is>
      </c>
      <c r="D290" s="13" t="inlineStr">
        <is>
          <t>generating_outline</t>
        </is>
      </c>
      <c r="E290" s="13" t="inlineStr">
        <is>
          <t>COMPLEXITY_CHECK_DONE</t>
        </is>
      </c>
      <c r="F290" s="13" t="inlineStr">
        <is>
          <t>system@tsip.ai</t>
        </is>
      </c>
      <c r="G290" s="13" t="inlineStr">
        <is>
          <t>8c19520c-b2d2-449b-a1f8-b426e81df053</t>
        </is>
      </c>
    </row>
    <row r="291">
      <c r="A291" s="13" t="inlineStr">
        <is>
          <t>8c19520c</t>
        </is>
      </c>
      <c r="B291" s="13" t="inlineStr">
        <is>
          <t>2026-08-31T17:27:17.984Z</t>
        </is>
      </c>
      <c r="C291" s="13" t="inlineStr">
        <is>
          <t>generating_outline</t>
        </is>
      </c>
      <c r="D291" s="13" t="inlineStr">
        <is>
          <t>decomp_review</t>
        </is>
      </c>
      <c r="E291" s="13" t="inlineStr">
        <is>
          <t>SUBMIT_TASK_OUTLINE</t>
        </is>
      </c>
      <c r="F291" s="13" t="inlineStr">
        <is>
          <t>system@tsip.ai</t>
        </is>
      </c>
      <c r="G291" s="13" t="inlineStr">
        <is>
          <t>8c19520c-b2d2-449b-a1f8-b426e81df053</t>
        </is>
      </c>
    </row>
    <row r="292">
      <c r="A292" s="13" t="inlineStr">
        <is>
          <t>8c19520c</t>
        </is>
      </c>
      <c r="B292" s="13" t="inlineStr">
        <is>
          <t>2026-09-01T21:57:08.196Z</t>
        </is>
      </c>
      <c r="C292" s="13" t="inlineStr">
        <is>
          <t>decomp_review</t>
        </is>
      </c>
      <c r="D292" s="13" t="inlineStr">
        <is>
          <t>generating_outline</t>
        </is>
      </c>
      <c r="E292" s="13" t="inlineStr">
        <is>
          <t>ADMIN_OVERRIDE</t>
        </is>
      </c>
      <c r="F292" s="13" t="inlineStr">
        <is>
          <t>ali@meridian.ai</t>
        </is>
      </c>
      <c r="G292" s="13" t="inlineStr">
        <is>
          <t>8c19520c-b2d2-449b-a1f8-b426e81df053</t>
        </is>
      </c>
    </row>
    <row r="293">
      <c r="A293" s="13" t="inlineStr">
        <is>
          <t>8c19520c</t>
        </is>
      </c>
      <c r="B293" s="13" t="inlineStr">
        <is>
          <t>2026-09-01T22:04:20.293Z</t>
        </is>
      </c>
      <c r="C293" s="13" t="inlineStr">
        <is>
          <t>generating_outline</t>
        </is>
      </c>
      <c r="D293" s="13" t="inlineStr">
        <is>
          <t>generating_outline</t>
        </is>
      </c>
      <c r="E293" s="13" t="inlineStr">
        <is>
          <t>FIELDS_WRITE</t>
        </is>
      </c>
      <c r="F293" s="13" t="inlineStr">
        <is>
          <t>system@tsip.ai</t>
        </is>
      </c>
      <c r="G293" s="13" t="inlineStr">
        <is>
          <t>8c19520c-b2d2-449b-a1f8-b426e81df053</t>
        </is>
      </c>
    </row>
    <row r="294">
      <c r="A294" s="13" t="inlineStr">
        <is>
          <t>8c19520c</t>
        </is>
      </c>
      <c r="B294" s="13" t="inlineStr">
        <is>
          <t>2026-09-01T22:04:21.323Z</t>
        </is>
      </c>
      <c r="C294" s="13" t="inlineStr">
        <is>
          <t>generating_outline</t>
        </is>
      </c>
      <c r="D294" s="13" t="inlineStr">
        <is>
          <t>decomp_review</t>
        </is>
      </c>
      <c r="E294" s="13" t="inlineStr">
        <is>
          <t>SUBMIT_TASK_OUTLINE</t>
        </is>
      </c>
      <c r="F294" s="13" t="inlineStr">
        <is>
          <t>system@tsip.ai</t>
        </is>
      </c>
      <c r="G294" s="13" t="inlineStr">
        <is>
          <t>8c19520c-b2d2-449b-a1f8-b426e81df053</t>
        </is>
      </c>
    </row>
    <row r="295">
      <c r="A295" s="13" t="inlineStr">
        <is>
          <t>8f99bcd7</t>
        </is>
      </c>
      <c r="B295" s="13" t="inlineStr">
        <is>
          <t>2026-09-01T23:18:55.407Z</t>
        </is>
      </c>
      <c r="C295" s="13" t="inlineStr">
        <is>
          <t>NONE</t>
        </is>
      </c>
      <c r="D295" s="13" t="inlineStr">
        <is>
          <t>needs_decomp</t>
        </is>
      </c>
      <c r="E295" s="13" t="inlineStr">
        <is>
          <t>SPAWNED</t>
        </is>
      </c>
      <c r="F295" s="13" t="inlineStr">
        <is>
          <t>system@tsip.ai</t>
        </is>
      </c>
      <c r="G295" s="13" t="inlineStr">
        <is>
          <t>8f99bcd7-fca6-4752-bf71-04ad795bf50d</t>
        </is>
      </c>
    </row>
    <row r="296">
      <c r="A296" s="13" t="inlineStr">
        <is>
          <t>8f99bcd7</t>
        </is>
      </c>
      <c r="B296" s="13" t="inlineStr">
        <is>
          <t>2026-09-01T23:19:28.787Z</t>
        </is>
      </c>
      <c r="C296" s="13" t="inlineStr">
        <is>
          <t>needs_decomp</t>
        </is>
      </c>
      <c r="D296" s="13" t="inlineStr">
        <is>
          <t>needs_decomp</t>
        </is>
      </c>
      <c r="E296" s="13" t="inlineStr">
        <is>
          <t>AUTO_POOL</t>
        </is>
      </c>
      <c r="F296" s="13" t="inlineStr">
        <is>
          <t>mshuriah2702@gmail.com</t>
        </is>
      </c>
      <c r="G296" s="13" t="inlineStr">
        <is>
          <t>8f99bcd7-fca6-4752-bf71-04ad795bf50d</t>
        </is>
      </c>
    </row>
    <row r="297">
      <c r="A297" s="13" t="inlineStr">
        <is>
          <t>8f99bcd7</t>
        </is>
      </c>
      <c r="B297" s="13" t="inlineStr">
        <is>
          <t>2026-09-01T23:19:28.839Z</t>
        </is>
      </c>
      <c r="C297" s="13" t="inlineStr">
        <is>
          <t>needs_decomp</t>
        </is>
      </c>
      <c r="D297" s="13" t="inlineStr">
        <is>
          <t>decomp_complexity_check</t>
        </is>
      </c>
      <c r="E297" s="13" t="inlineStr">
        <is>
          <t>SUBMIT_DECOMP</t>
        </is>
      </c>
      <c r="F297" s="13" t="inlineStr">
        <is>
          <t>mshuriah2702@gmail.com</t>
        </is>
      </c>
      <c r="G297" s="13" t="inlineStr">
        <is>
          <t>8f99bcd7-fca6-4752-bf71-04ad795bf50d</t>
        </is>
      </c>
    </row>
    <row r="298">
      <c r="A298" s="13" t="inlineStr">
        <is>
          <t>8f99bcd7</t>
        </is>
      </c>
      <c r="B298" s="13" t="inlineStr">
        <is>
          <t>2026-09-01T23:19:37.975Z</t>
        </is>
      </c>
      <c r="C298" s="13" t="inlineStr">
        <is>
          <t>decomp_complexity_check</t>
        </is>
      </c>
      <c r="D298" s="13" t="inlineStr">
        <is>
          <t>decomp_complexity_check</t>
        </is>
      </c>
      <c r="E298" s="13" t="inlineStr">
        <is>
          <t>FIELDS_WRITE</t>
        </is>
      </c>
      <c r="F298" s="13" t="inlineStr">
        <is>
          <t>system@tsip.ai</t>
        </is>
      </c>
      <c r="G298" s="13" t="inlineStr">
        <is>
          <t>8f99bcd7-fca6-4752-bf71-04ad795bf50d</t>
        </is>
      </c>
    </row>
    <row r="299">
      <c r="A299" s="13" t="inlineStr">
        <is>
          <t>8f99bcd7</t>
        </is>
      </c>
      <c r="B299" s="13" t="inlineStr">
        <is>
          <t>2026-09-01T23:19:38.633Z</t>
        </is>
      </c>
      <c r="C299" s="13" t="inlineStr">
        <is>
          <t>decomp_complexity_check</t>
        </is>
      </c>
      <c r="D299" s="13" t="inlineStr">
        <is>
          <t>generating_outline</t>
        </is>
      </c>
      <c r="E299" s="13" t="inlineStr">
        <is>
          <t>COMPLEXITY_CHECK_DONE</t>
        </is>
      </c>
      <c r="F299" s="13" t="inlineStr">
        <is>
          <t>system@tsip.ai</t>
        </is>
      </c>
      <c r="G299" s="13" t="inlineStr">
        <is>
          <t>8f99bcd7-fca6-4752-bf71-04ad795bf50d</t>
        </is>
      </c>
    </row>
    <row r="300">
      <c r="A300" s="13" t="inlineStr">
        <is>
          <t>8f99bcd7</t>
        </is>
      </c>
      <c r="B300" s="13" t="inlineStr">
        <is>
          <t>2026-09-01T23:21:33.213Z</t>
        </is>
      </c>
      <c r="C300" s="13" t="inlineStr">
        <is>
          <t>generating_outline</t>
        </is>
      </c>
      <c r="D300" s="13" t="inlineStr">
        <is>
          <t>generating_outline</t>
        </is>
      </c>
      <c r="E300" s="13" t="inlineStr">
        <is>
          <t>FIELDS_WRITE</t>
        </is>
      </c>
      <c r="F300" s="13" t="inlineStr">
        <is>
          <t>system@tsip.ai</t>
        </is>
      </c>
      <c r="G300" s="13" t="inlineStr">
        <is>
          <t>8f99bcd7-fca6-4752-bf71-04ad795bf50d</t>
        </is>
      </c>
    </row>
    <row r="301">
      <c r="A301" s="13" t="inlineStr">
        <is>
          <t>8f99bcd7</t>
        </is>
      </c>
      <c r="B301" s="13" t="inlineStr">
        <is>
          <t>2026-09-01T23:21:34.148Z</t>
        </is>
      </c>
      <c r="C301" s="13" t="inlineStr">
        <is>
          <t>generating_outline</t>
        </is>
      </c>
      <c r="D301" s="13" t="inlineStr">
        <is>
          <t>decomp_review</t>
        </is>
      </c>
      <c r="E301" s="13" t="inlineStr">
        <is>
          <t>SUBMIT_TASK_OUTLINE</t>
        </is>
      </c>
      <c r="F301" s="13" t="inlineStr">
        <is>
          <t>system@tsip.ai</t>
        </is>
      </c>
      <c r="G301" s="13" t="inlineStr">
        <is>
          <t>8f99bcd7-fca6-4752-bf71-04ad795bf50d</t>
        </is>
      </c>
    </row>
    <row r="302">
      <c r="A302" s="13" t="inlineStr">
        <is>
          <t>906892cf</t>
        </is>
      </c>
      <c r="B302" s="13" t="inlineStr">
        <is>
          <t>2026-09-01T10:14:56.792Z</t>
        </is>
      </c>
      <c r="C302" s="13" t="inlineStr">
        <is>
          <t>NONE</t>
        </is>
      </c>
      <c r="D302" s="13" t="inlineStr">
        <is>
          <t>needs_decomp</t>
        </is>
      </c>
      <c r="E302" s="13" t="inlineStr">
        <is>
          <t>SPAWNED</t>
        </is>
      </c>
      <c r="F302" s="13" t="inlineStr">
        <is>
          <t>system@tsip.ai</t>
        </is>
      </c>
      <c r="G302" s="13" t="inlineStr">
        <is>
          <t>906892cf-1049-4c2d-99ef-404e461c776f</t>
        </is>
      </c>
    </row>
    <row r="303">
      <c r="A303" s="13" t="inlineStr">
        <is>
          <t>906892cf</t>
        </is>
      </c>
      <c r="B303" s="13" t="inlineStr">
        <is>
          <t>2026-09-01T10:23:18.379Z</t>
        </is>
      </c>
      <c r="C303" s="13" t="inlineStr">
        <is>
          <t>needs_decomp</t>
        </is>
      </c>
      <c r="D303" s="13" t="inlineStr">
        <is>
          <t>needs_decomp</t>
        </is>
      </c>
      <c r="E303" s="13" t="inlineStr">
        <is>
          <t>AUTO_POOL</t>
        </is>
      </c>
      <c r="F303" s="13" t="inlineStr">
        <is>
          <t>infinitearbitrage@gmail.com</t>
        </is>
      </c>
      <c r="G303" s="13" t="inlineStr">
        <is>
          <t>906892cf-1049-4c2d-99ef-404e461c776f</t>
        </is>
      </c>
    </row>
    <row r="304">
      <c r="A304" s="13" t="inlineStr">
        <is>
          <t>906892cf</t>
        </is>
      </c>
      <c r="B304" s="13" t="inlineStr">
        <is>
          <t>2026-09-01T10:23:18.412Z</t>
        </is>
      </c>
      <c r="C304" s="13" t="inlineStr">
        <is>
          <t>needs_decomp</t>
        </is>
      </c>
      <c r="D304" s="13" t="inlineStr">
        <is>
          <t>decomp_complexity_check</t>
        </is>
      </c>
      <c r="E304" s="13" t="inlineStr">
        <is>
          <t>SUBMIT_DECOMP</t>
        </is>
      </c>
      <c r="F304" s="13" t="inlineStr">
        <is>
          <t>infinitearbitrage@gmail.com</t>
        </is>
      </c>
      <c r="G304" s="13" t="inlineStr">
        <is>
          <t>906892cf-1049-4c2d-99ef-404e461c776f</t>
        </is>
      </c>
    </row>
    <row r="305">
      <c r="A305" s="13" t="inlineStr">
        <is>
          <t>906892cf</t>
        </is>
      </c>
      <c r="B305" s="13" t="inlineStr">
        <is>
          <t>2026-09-01T10:24:02.997Z</t>
        </is>
      </c>
      <c r="C305" s="13" t="inlineStr">
        <is>
          <t>decomp_complexity_check</t>
        </is>
      </c>
      <c r="D305" s="13" t="inlineStr">
        <is>
          <t>decomp_complexity_check</t>
        </is>
      </c>
      <c r="E305" s="13" t="inlineStr">
        <is>
          <t>FIELDS_WRITE</t>
        </is>
      </c>
      <c r="F305" s="13" t="inlineStr">
        <is>
          <t>system@tsip.ai</t>
        </is>
      </c>
      <c r="G305" s="13" t="inlineStr">
        <is>
          <t>906892cf-1049-4c2d-99ef-404e461c776f</t>
        </is>
      </c>
    </row>
    <row r="306">
      <c r="A306" s="13" t="inlineStr">
        <is>
          <t>906892cf</t>
        </is>
      </c>
      <c r="B306" s="13" t="inlineStr">
        <is>
          <t>2026-09-01T10:24:03.691Z</t>
        </is>
      </c>
      <c r="C306" s="13" t="inlineStr">
        <is>
          <t>decomp_complexity_check</t>
        </is>
      </c>
      <c r="D306" s="13" t="inlineStr">
        <is>
          <t>generating_outline</t>
        </is>
      </c>
      <c r="E306" s="13" t="inlineStr">
        <is>
          <t>COMPLEXITY_CHECK_DONE</t>
        </is>
      </c>
      <c r="F306" s="13" t="inlineStr">
        <is>
          <t>system@tsip.ai</t>
        </is>
      </c>
      <c r="G306" s="13" t="inlineStr">
        <is>
          <t>906892cf-1049-4c2d-99ef-404e461c776f</t>
        </is>
      </c>
    </row>
    <row r="307">
      <c r="A307" s="13" t="inlineStr">
        <is>
          <t>906892cf</t>
        </is>
      </c>
      <c r="B307" s="13" t="inlineStr">
        <is>
          <t>2026-09-01T10:40:28.594Z</t>
        </is>
      </c>
      <c r="C307" s="13" t="inlineStr">
        <is>
          <t>generating_outline</t>
        </is>
      </c>
      <c r="D307" s="13" t="inlineStr">
        <is>
          <t>decomp_review</t>
        </is>
      </c>
      <c r="E307" s="13" t="inlineStr">
        <is>
          <t>SUBMIT_TASK_OUTLINE</t>
        </is>
      </c>
      <c r="F307" s="13" t="inlineStr">
        <is>
          <t>system@tsip.ai</t>
        </is>
      </c>
      <c r="G307" s="13" t="inlineStr">
        <is>
          <t>906892cf-1049-4c2d-99ef-404e461c776f</t>
        </is>
      </c>
    </row>
    <row r="308">
      <c r="A308" s="13" t="inlineStr">
        <is>
          <t>906892cf</t>
        </is>
      </c>
      <c r="B308" s="13" t="inlineStr">
        <is>
          <t>2026-09-01T21:57:04.128Z</t>
        </is>
      </c>
      <c r="C308" s="13" t="inlineStr">
        <is>
          <t>decomp_review</t>
        </is>
      </c>
      <c r="D308" s="13" t="inlineStr">
        <is>
          <t>generating_outline</t>
        </is>
      </c>
      <c r="E308" s="13" t="inlineStr">
        <is>
          <t>ADMIN_OVERRIDE</t>
        </is>
      </c>
      <c r="F308" s="13" t="inlineStr">
        <is>
          <t>ali@meridian.ai</t>
        </is>
      </c>
      <c r="G308" s="13" t="inlineStr">
        <is>
          <t>906892cf-1049-4c2d-99ef-404e461c776f</t>
        </is>
      </c>
    </row>
    <row r="309">
      <c r="A309" s="13" t="inlineStr">
        <is>
          <t>906892cf</t>
        </is>
      </c>
      <c r="B309" s="13" t="inlineStr">
        <is>
          <t>2026-09-01T22:01:17.099Z</t>
        </is>
      </c>
      <c r="C309" s="13" t="inlineStr">
        <is>
          <t>generating_outline</t>
        </is>
      </c>
      <c r="D309" s="13" t="inlineStr">
        <is>
          <t>decomp_review</t>
        </is>
      </c>
      <c r="E309" s="13" t="inlineStr">
        <is>
          <t>SUBMIT_TASK_OUTLINE</t>
        </is>
      </c>
      <c r="F309" s="13" t="inlineStr">
        <is>
          <t>system@tsip.ai</t>
        </is>
      </c>
      <c r="G309" s="13" t="inlineStr">
        <is>
          <t>906892cf-1049-4c2d-99ef-404e461c776f</t>
        </is>
      </c>
    </row>
    <row r="310">
      <c r="A310" s="13" t="inlineStr">
        <is>
          <t>92b20cff</t>
        </is>
      </c>
      <c r="B310" s="13" t="inlineStr">
        <is>
          <t>2026-08-29T12:06:08.627Z</t>
        </is>
      </c>
      <c r="C310" s="13" t="inlineStr">
        <is>
          <t>NONE</t>
        </is>
      </c>
      <c r="D310" s="13" t="inlineStr">
        <is>
          <t>needs_decomp</t>
        </is>
      </c>
      <c r="E310" s="13" t="inlineStr">
        <is>
          <t>CLONED</t>
        </is>
      </c>
      <c r="F310" s="13" t="inlineStr">
        <is>
          <t>system@tsip.ai</t>
        </is>
      </c>
      <c r="G310" s="13" t="inlineStr">
        <is>
          <t>92b20cff-2188-474c-b966-e33ada1437ee</t>
        </is>
      </c>
    </row>
    <row r="311">
      <c r="A311" s="13" t="inlineStr">
        <is>
          <t>92b20cff</t>
        </is>
      </c>
      <c r="B311" s="13" t="inlineStr">
        <is>
          <t>2026-08-29T12:06:12.595Z</t>
        </is>
      </c>
      <c r="C311" s="13" t="inlineStr">
        <is>
          <t>needs_decomp</t>
        </is>
      </c>
      <c r="D311" s="13" t="inlineStr">
        <is>
          <t>needs_decomp</t>
        </is>
      </c>
      <c r="E311" s="13" t="inlineStr">
        <is>
          <t>POOL_CLAIM</t>
        </is>
      </c>
      <c r="F311" s="13" t="inlineStr">
        <is>
          <t>infinitearbitrage@gmail.com</t>
        </is>
      </c>
      <c r="G311" s="13" t="inlineStr">
        <is>
          <t>92b20cff-2188-474c-b966-e33ada1437ee</t>
        </is>
      </c>
    </row>
    <row r="312">
      <c r="A312" s="13" t="inlineStr">
        <is>
          <t>92b20cff</t>
        </is>
      </c>
      <c r="B312" s="13" t="inlineStr">
        <is>
          <t>2026-09-01T06:06:57.027Z</t>
        </is>
      </c>
      <c r="C312" s="13" t="inlineStr">
        <is>
          <t>needs_decomp</t>
        </is>
      </c>
      <c r="D312" s="13" t="inlineStr">
        <is>
          <t>needs_decomp</t>
        </is>
      </c>
      <c r="E312" s="13" t="inlineStr">
        <is>
          <t>AUTO_POOL</t>
        </is>
      </c>
      <c r="F312" s="13" t="inlineStr">
        <is>
          <t>infinitearbitrage@gmail.com</t>
        </is>
      </c>
      <c r="G312" s="13" t="inlineStr">
        <is>
          <t>92b20cff-2188-474c-b966-e33ada1437ee</t>
        </is>
      </c>
    </row>
    <row r="313">
      <c r="A313" s="13" t="inlineStr">
        <is>
          <t>92b20cff</t>
        </is>
      </c>
      <c r="B313" s="13" t="inlineStr">
        <is>
          <t>2026-09-01T06:06:57.069Z</t>
        </is>
      </c>
      <c r="C313" s="13" t="inlineStr">
        <is>
          <t>needs_decomp</t>
        </is>
      </c>
      <c r="D313" s="13" t="inlineStr">
        <is>
          <t>decomp_complexity_check</t>
        </is>
      </c>
      <c r="E313" s="13" t="inlineStr">
        <is>
          <t>SUBMIT_DECOMP</t>
        </is>
      </c>
      <c r="F313" s="13" t="inlineStr">
        <is>
          <t>infinitearbitrage@gmail.com</t>
        </is>
      </c>
      <c r="G313" s="13" t="inlineStr">
        <is>
          <t>92b20cff-2188-474c-b966-e33ada1437ee</t>
        </is>
      </c>
    </row>
    <row r="314">
      <c r="A314" s="13" t="inlineStr">
        <is>
          <t>92b20cff</t>
        </is>
      </c>
      <c r="B314" s="13" t="inlineStr">
        <is>
          <t>2026-09-01T06:07:01.774Z</t>
        </is>
      </c>
      <c r="C314" s="13" t="inlineStr">
        <is>
          <t>decomp_complexity_check</t>
        </is>
      </c>
      <c r="D314" s="13" t="inlineStr">
        <is>
          <t>decomp_complexity_check</t>
        </is>
      </c>
      <c r="E314" s="13" t="inlineStr">
        <is>
          <t>FIELDS_WRITE</t>
        </is>
      </c>
      <c r="F314" s="13" t="inlineStr">
        <is>
          <t>system@tsip.ai</t>
        </is>
      </c>
      <c r="G314" s="13" t="inlineStr">
        <is>
          <t>92b20cff-2188-474c-b966-e33ada1437ee</t>
        </is>
      </c>
    </row>
    <row r="315">
      <c r="A315" s="13" t="inlineStr">
        <is>
          <t>92b20cff</t>
        </is>
      </c>
      <c r="B315" s="13" t="inlineStr">
        <is>
          <t>2026-09-01T06:07:02.356Z</t>
        </is>
      </c>
      <c r="C315" s="13" t="inlineStr">
        <is>
          <t>decomp_complexity_check</t>
        </is>
      </c>
      <c r="D315" s="13" t="inlineStr">
        <is>
          <t>generating_outline</t>
        </is>
      </c>
      <c r="E315" s="13" t="inlineStr">
        <is>
          <t>COMPLEXITY_CHECK_DONE</t>
        </is>
      </c>
      <c r="F315" s="13" t="inlineStr">
        <is>
          <t>system@tsip.ai</t>
        </is>
      </c>
      <c r="G315" s="13" t="inlineStr">
        <is>
          <t>92b20cff-2188-474c-b966-e33ada1437ee</t>
        </is>
      </c>
    </row>
    <row r="316">
      <c r="A316" s="13" t="inlineStr">
        <is>
          <t>92b20cff</t>
        </is>
      </c>
      <c r="B316" s="13" t="inlineStr">
        <is>
          <t>2026-09-01T06:07:24.147Z</t>
        </is>
      </c>
      <c r="C316" s="13" t="inlineStr">
        <is>
          <t>generating_outline</t>
        </is>
      </c>
      <c r="D316" s="13" t="inlineStr">
        <is>
          <t>decomp_review</t>
        </is>
      </c>
      <c r="E316" s="13" t="inlineStr">
        <is>
          <t>SUBMIT_TASK_OUTLINE</t>
        </is>
      </c>
      <c r="F316" s="13" t="inlineStr">
        <is>
          <t>system@tsip.ai</t>
        </is>
      </c>
      <c r="G316" s="13" t="inlineStr">
        <is>
          <t>92b20cff-2188-474c-b966-e33ada1437ee</t>
        </is>
      </c>
    </row>
    <row r="317">
      <c r="A317" s="13" t="inlineStr">
        <is>
          <t>92b20cff</t>
        </is>
      </c>
      <c r="B317" s="13" t="inlineStr">
        <is>
          <t>2026-09-01T21:57:04.737Z</t>
        </is>
      </c>
      <c r="C317" s="13" t="inlineStr">
        <is>
          <t>decomp_review</t>
        </is>
      </c>
      <c r="D317" s="13" t="inlineStr">
        <is>
          <t>generating_outline</t>
        </is>
      </c>
      <c r="E317" s="13" t="inlineStr">
        <is>
          <t>ADMIN_OVERRIDE</t>
        </is>
      </c>
      <c r="F317" s="13" t="inlineStr">
        <is>
          <t>ali@meridian.ai</t>
        </is>
      </c>
      <c r="G317" s="13" t="inlineStr">
        <is>
          <t>92b20cff-2188-474c-b966-e33ada1437ee</t>
        </is>
      </c>
    </row>
    <row r="318">
      <c r="A318" s="13" t="inlineStr">
        <is>
          <t>92b20cff</t>
        </is>
      </c>
      <c r="B318" s="13" t="inlineStr">
        <is>
          <t>2026-09-01T22:00:40.238Z</t>
        </is>
      </c>
      <c r="C318" s="13" t="inlineStr">
        <is>
          <t>generating_outline</t>
        </is>
      </c>
      <c r="D318" s="13" t="inlineStr">
        <is>
          <t>generating_outline</t>
        </is>
      </c>
      <c r="E318" s="13" t="inlineStr">
        <is>
          <t>FIELDS_WRITE</t>
        </is>
      </c>
      <c r="F318" s="13" t="inlineStr">
        <is>
          <t>system@tsip.ai</t>
        </is>
      </c>
      <c r="G318" s="13" t="inlineStr">
        <is>
          <t>92b20cff-2188-474c-b966-e33ada1437ee</t>
        </is>
      </c>
    </row>
    <row r="319">
      <c r="A319" s="13" t="inlineStr">
        <is>
          <t>92b20cff</t>
        </is>
      </c>
      <c r="B319" s="13" t="inlineStr">
        <is>
          <t>2026-09-01T22:00:41.475Z</t>
        </is>
      </c>
      <c r="C319" s="13" t="inlineStr">
        <is>
          <t>generating_outline</t>
        </is>
      </c>
      <c r="D319" s="13" t="inlineStr">
        <is>
          <t>decomp_review</t>
        </is>
      </c>
      <c r="E319" s="13" t="inlineStr">
        <is>
          <t>SUBMIT_TASK_OUTLINE</t>
        </is>
      </c>
      <c r="F319" s="13" t="inlineStr">
        <is>
          <t>system@tsip.ai</t>
        </is>
      </c>
      <c r="G319" s="13" t="inlineStr">
        <is>
          <t>92b20cff-2188-474c-b966-e33ada1437ee</t>
        </is>
      </c>
    </row>
    <row r="320">
      <c r="A320" s="13" t="inlineStr">
        <is>
          <t>95606585</t>
        </is>
      </c>
      <c r="B320" s="13" t="inlineStr">
        <is>
          <t>2026-09-01T15:00:40.982Z</t>
        </is>
      </c>
      <c r="C320" s="13" t="inlineStr">
        <is>
          <t>NONE</t>
        </is>
      </c>
      <c r="D320" s="13" t="inlineStr">
        <is>
          <t>needs_decomp</t>
        </is>
      </c>
      <c r="E320" s="13" t="inlineStr">
        <is>
          <t>SPAWNED</t>
        </is>
      </c>
      <c r="F320" s="13" t="inlineStr">
        <is>
          <t>system@tsip.ai</t>
        </is>
      </c>
      <c r="G320" s="13" t="inlineStr">
        <is>
          <t>95606585-8665-475b-ac9c-eb5fae04a8f6</t>
        </is>
      </c>
    </row>
    <row r="321">
      <c r="A321" s="13" t="inlineStr">
        <is>
          <t>95606585</t>
        </is>
      </c>
      <c r="B321" s="13" t="inlineStr">
        <is>
          <t>2026-09-01T15:10:10.915Z</t>
        </is>
      </c>
      <c r="C321" s="13" t="inlineStr">
        <is>
          <t>needs_decomp</t>
        </is>
      </c>
      <c r="D321" s="13" t="inlineStr">
        <is>
          <t>needs_decomp</t>
        </is>
      </c>
      <c r="E321" s="13" t="inlineStr">
        <is>
          <t>AUTO_POOL</t>
        </is>
      </c>
      <c r="F321" s="13" t="inlineStr">
        <is>
          <t>wangche2532@gmail.com</t>
        </is>
      </c>
      <c r="G321" s="13" t="inlineStr">
        <is>
          <t>95606585-8665-475b-ac9c-eb5fae04a8f6</t>
        </is>
      </c>
    </row>
    <row r="322">
      <c r="A322" s="13" t="inlineStr">
        <is>
          <t>95606585</t>
        </is>
      </c>
      <c r="B322" s="13" t="inlineStr">
        <is>
          <t>2026-09-01T15:10:11.028Z</t>
        </is>
      </c>
      <c r="C322" s="13" t="inlineStr">
        <is>
          <t>needs_decomp</t>
        </is>
      </c>
      <c r="D322" s="13" t="inlineStr">
        <is>
          <t>decomp_complexity_check</t>
        </is>
      </c>
      <c r="E322" s="13" t="inlineStr">
        <is>
          <t>SUBMIT_DECOMP</t>
        </is>
      </c>
      <c r="F322" s="13" t="inlineStr">
        <is>
          <t>wangche2532@gmail.com</t>
        </is>
      </c>
      <c r="G322" s="13" t="inlineStr">
        <is>
          <t>95606585-8665-475b-ac9c-eb5fae04a8f6</t>
        </is>
      </c>
    </row>
    <row r="323">
      <c r="A323" s="13" t="inlineStr">
        <is>
          <t>95606585</t>
        </is>
      </c>
      <c r="B323" s="13" t="inlineStr">
        <is>
          <t>2026-09-01T15:10:27.482Z</t>
        </is>
      </c>
      <c r="C323" s="13" t="inlineStr">
        <is>
          <t>decomp_complexity_check</t>
        </is>
      </c>
      <c r="D323" s="13" t="inlineStr">
        <is>
          <t>decomp_complexity_check</t>
        </is>
      </c>
      <c r="E323" s="13" t="inlineStr">
        <is>
          <t>FIELDS_WRITE</t>
        </is>
      </c>
      <c r="F323" s="13" t="inlineStr">
        <is>
          <t>system@tsip.ai</t>
        </is>
      </c>
      <c r="G323" s="13" t="inlineStr">
        <is>
          <t>95606585-8665-475b-ac9c-eb5fae04a8f6</t>
        </is>
      </c>
    </row>
    <row r="324">
      <c r="A324" s="13" t="inlineStr">
        <is>
          <t>95606585</t>
        </is>
      </c>
      <c r="B324" s="13" t="inlineStr">
        <is>
          <t>2026-09-01T15:10:28.587Z</t>
        </is>
      </c>
      <c r="C324" s="13" t="inlineStr">
        <is>
          <t>decomp_complexity_check</t>
        </is>
      </c>
      <c r="D324" s="13" t="inlineStr">
        <is>
          <t>generating_outline</t>
        </is>
      </c>
      <c r="E324" s="13" t="inlineStr">
        <is>
          <t>COMPLEXITY_CHECK_DONE</t>
        </is>
      </c>
      <c r="F324" s="13" t="inlineStr">
        <is>
          <t>system@tsip.ai</t>
        </is>
      </c>
      <c r="G324" s="13" t="inlineStr">
        <is>
          <t>95606585-8665-475b-ac9c-eb5fae04a8f6</t>
        </is>
      </c>
    </row>
    <row r="325">
      <c r="A325" s="13" t="inlineStr">
        <is>
          <t>95606585</t>
        </is>
      </c>
      <c r="B325" s="13" t="inlineStr">
        <is>
          <t>2026-09-01T15:12:42.795Z</t>
        </is>
      </c>
      <c r="C325" s="13" t="inlineStr">
        <is>
          <t>generating_outline</t>
        </is>
      </c>
      <c r="D325" s="13" t="inlineStr">
        <is>
          <t>generating_outline</t>
        </is>
      </c>
      <c r="E325" s="13" t="inlineStr">
        <is>
          <t>FIELDS_WRITE</t>
        </is>
      </c>
      <c r="F325" s="13" t="inlineStr">
        <is>
          <t>system@tsip.ai</t>
        </is>
      </c>
      <c r="G325" s="13" t="inlineStr">
        <is>
          <t>95606585-8665-475b-ac9c-eb5fae04a8f6</t>
        </is>
      </c>
    </row>
    <row r="326">
      <c r="A326" s="13" t="inlineStr">
        <is>
          <t>95606585</t>
        </is>
      </c>
      <c r="B326" s="13" t="inlineStr">
        <is>
          <t>2026-09-01T15:12:44.223Z</t>
        </is>
      </c>
      <c r="C326" s="13" t="inlineStr">
        <is>
          <t>generating_outline</t>
        </is>
      </c>
      <c r="D326" s="13" t="inlineStr">
        <is>
          <t>decomp_review</t>
        </is>
      </c>
      <c r="E326" s="13" t="inlineStr">
        <is>
          <t>SUBMIT_TASK_OUTLINE</t>
        </is>
      </c>
      <c r="F326" s="13" t="inlineStr">
        <is>
          <t>system@tsip.ai</t>
        </is>
      </c>
      <c r="G326" s="13" t="inlineStr">
        <is>
          <t>95606585-8665-475b-ac9c-eb5fae04a8f6</t>
        </is>
      </c>
    </row>
    <row r="327">
      <c r="A327" s="13" t="inlineStr">
        <is>
          <t>95606585</t>
        </is>
      </c>
      <c r="B327" s="13" t="inlineStr">
        <is>
          <t>2026-09-01T22:55:46.898Z</t>
        </is>
      </c>
      <c r="C327" s="13" t="inlineStr">
        <is>
          <t>decomp_review</t>
        </is>
      </c>
      <c r="D327" s="13" t="inlineStr">
        <is>
          <t>generating_outline</t>
        </is>
      </c>
      <c r="E327" s="13" t="inlineStr">
        <is>
          <t>ADMIN_OVERRIDE</t>
        </is>
      </c>
      <c r="F327" s="13" t="inlineStr">
        <is>
          <t>ali@meridian.ai</t>
        </is>
      </c>
      <c r="G327" s="13" t="inlineStr">
        <is>
          <t>95606585-8665-475b-ac9c-eb5fae04a8f6</t>
        </is>
      </c>
    </row>
    <row r="328">
      <c r="A328" s="13" t="inlineStr">
        <is>
          <t>95606585</t>
        </is>
      </c>
      <c r="B328" s="13" t="inlineStr">
        <is>
          <t>2026-09-01T22:59:44.799Z</t>
        </is>
      </c>
      <c r="C328" s="13" t="inlineStr">
        <is>
          <t>generating_outline</t>
        </is>
      </c>
      <c r="D328" s="13" t="inlineStr">
        <is>
          <t>generating_outline</t>
        </is>
      </c>
      <c r="E328" s="13" t="inlineStr">
        <is>
          <t>FIELDS_WRITE</t>
        </is>
      </c>
      <c r="F328" s="13" t="inlineStr">
        <is>
          <t>system@tsip.ai</t>
        </is>
      </c>
      <c r="G328" s="13" t="inlineStr">
        <is>
          <t>95606585-8665-475b-ac9c-eb5fae04a8f6</t>
        </is>
      </c>
    </row>
    <row r="329">
      <c r="A329" s="13" t="inlineStr">
        <is>
          <t>95606585</t>
        </is>
      </c>
      <c r="B329" s="13" t="inlineStr">
        <is>
          <t>2026-09-01T22:59:46.149Z</t>
        </is>
      </c>
      <c r="C329" s="13" t="inlineStr">
        <is>
          <t>generating_outline</t>
        </is>
      </c>
      <c r="D329" s="13" t="inlineStr">
        <is>
          <t>decomp_review</t>
        </is>
      </c>
      <c r="E329" s="13" t="inlineStr">
        <is>
          <t>SUBMIT_TASK_OUTLINE</t>
        </is>
      </c>
      <c r="F329" s="13" t="inlineStr">
        <is>
          <t>system@tsip.ai</t>
        </is>
      </c>
      <c r="G329" s="13" t="inlineStr">
        <is>
          <t>95606585-8665-475b-ac9c-eb5fae04a8f6</t>
        </is>
      </c>
    </row>
    <row r="330">
      <c r="A330" s="13" t="inlineStr">
        <is>
          <t>a0b42bc7</t>
        </is>
      </c>
      <c r="B330" s="13" t="inlineStr">
        <is>
          <t>2026-09-01T20:06:18.848Z</t>
        </is>
      </c>
      <c r="C330" s="13" t="inlineStr">
        <is>
          <t>NONE</t>
        </is>
      </c>
      <c r="D330" s="13" t="inlineStr">
        <is>
          <t>needs_decomp</t>
        </is>
      </c>
      <c r="E330" s="13" t="inlineStr">
        <is>
          <t>SPAWNED</t>
        </is>
      </c>
      <c r="F330" s="13" t="inlineStr">
        <is>
          <t>system@tsip.ai</t>
        </is>
      </c>
      <c r="G330" s="13" t="inlineStr">
        <is>
          <t>a0b42bc7-af28-40a5-80c2-7a103169a005</t>
        </is>
      </c>
    </row>
    <row r="331">
      <c r="A331" s="13" t="inlineStr">
        <is>
          <t>a0b42bc7</t>
        </is>
      </c>
      <c r="B331" s="13" t="inlineStr">
        <is>
          <t>2026-09-01T22:41:53.406Z</t>
        </is>
      </c>
      <c r="C331" s="13" t="inlineStr">
        <is>
          <t>needs_decomp</t>
        </is>
      </c>
      <c r="D331" s="13" t="inlineStr">
        <is>
          <t>needs_decomp</t>
        </is>
      </c>
      <c r="E331" s="13" t="inlineStr">
        <is>
          <t>AUTO_POOL</t>
        </is>
      </c>
      <c r="F331" s="13" t="inlineStr">
        <is>
          <t>wangche2532@gmail.com</t>
        </is>
      </c>
      <c r="G331" s="13" t="inlineStr">
        <is>
          <t>a0b42bc7-af28-40a5-80c2-7a103169a005</t>
        </is>
      </c>
    </row>
    <row r="332">
      <c r="A332" s="13" t="inlineStr">
        <is>
          <t>a0b42bc7</t>
        </is>
      </c>
      <c r="B332" s="13" t="inlineStr">
        <is>
          <t>2026-09-01T22:41:53.453Z</t>
        </is>
      </c>
      <c r="C332" s="13" t="inlineStr">
        <is>
          <t>needs_decomp</t>
        </is>
      </c>
      <c r="D332" s="13" t="inlineStr">
        <is>
          <t>decomp_complexity_check</t>
        </is>
      </c>
      <c r="E332" s="13" t="inlineStr">
        <is>
          <t>SUBMIT_DECOMP</t>
        </is>
      </c>
      <c r="F332" s="13" t="inlineStr">
        <is>
          <t>wangche2532@gmail.com</t>
        </is>
      </c>
      <c r="G332" s="13" t="inlineStr">
        <is>
          <t>a0b42bc7-af28-40a5-80c2-7a103169a005</t>
        </is>
      </c>
    </row>
    <row r="333">
      <c r="A333" s="13" t="inlineStr">
        <is>
          <t>a0b42bc7</t>
        </is>
      </c>
      <c r="B333" s="13" t="inlineStr">
        <is>
          <t>2026-09-01T22:42:02.47Z</t>
        </is>
      </c>
      <c r="C333" s="13" t="inlineStr">
        <is>
          <t>decomp_complexity_check</t>
        </is>
      </c>
      <c r="D333" s="13" t="inlineStr">
        <is>
          <t>decomp_complexity_check</t>
        </is>
      </c>
      <c r="E333" s="13" t="inlineStr">
        <is>
          <t>FIELDS_WRITE</t>
        </is>
      </c>
      <c r="F333" s="13" t="inlineStr">
        <is>
          <t>system@tsip.ai</t>
        </is>
      </c>
      <c r="G333" s="13" t="inlineStr">
        <is>
          <t>a0b42bc7-af28-40a5-80c2-7a103169a005</t>
        </is>
      </c>
    </row>
    <row r="334">
      <c r="A334" s="13" t="inlineStr">
        <is>
          <t>a0b42bc7</t>
        </is>
      </c>
      <c r="B334" s="13" t="inlineStr">
        <is>
          <t>2026-09-01T22:42:03.481Z</t>
        </is>
      </c>
      <c r="C334" s="13" t="inlineStr">
        <is>
          <t>decomp_complexity_check</t>
        </is>
      </c>
      <c r="D334" s="13" t="inlineStr">
        <is>
          <t>generating_outline</t>
        </is>
      </c>
      <c r="E334" s="13" t="inlineStr">
        <is>
          <t>COMPLEXITY_CHECK_DONE</t>
        </is>
      </c>
      <c r="F334" s="13" t="inlineStr">
        <is>
          <t>system@tsip.ai</t>
        </is>
      </c>
      <c r="G334" s="13" t="inlineStr">
        <is>
          <t>a0b42bc7-af28-40a5-80c2-7a103169a005</t>
        </is>
      </c>
    </row>
    <row r="335">
      <c r="A335" s="13" t="inlineStr">
        <is>
          <t>a0b42bc7</t>
        </is>
      </c>
      <c r="B335" s="13" t="inlineStr">
        <is>
          <t>2026-09-01T22:45:16.61Z</t>
        </is>
      </c>
      <c r="C335" s="13" t="inlineStr">
        <is>
          <t>generating_outline</t>
        </is>
      </c>
      <c r="D335" s="13" t="inlineStr">
        <is>
          <t>generating_outline</t>
        </is>
      </c>
      <c r="E335" s="13" t="inlineStr">
        <is>
          <t>FIELDS_WRITE</t>
        </is>
      </c>
      <c r="F335" s="13" t="inlineStr">
        <is>
          <t>system@tsip.ai</t>
        </is>
      </c>
      <c r="G335" s="13" t="inlineStr">
        <is>
          <t>a0b42bc7-af28-40a5-80c2-7a103169a005</t>
        </is>
      </c>
    </row>
    <row r="336">
      <c r="A336" s="13" t="inlineStr">
        <is>
          <t>a0b42bc7</t>
        </is>
      </c>
      <c r="B336" s="13" t="inlineStr">
        <is>
          <t>2026-09-01T22:45:17.668Z</t>
        </is>
      </c>
      <c r="C336" s="13" t="inlineStr">
        <is>
          <t>generating_outline</t>
        </is>
      </c>
      <c r="D336" s="13" t="inlineStr">
        <is>
          <t>decomp_review</t>
        </is>
      </c>
      <c r="E336" s="13" t="inlineStr">
        <is>
          <t>SUBMIT_TASK_OUTLINE</t>
        </is>
      </c>
      <c r="F336" s="13" t="inlineStr">
        <is>
          <t>system@tsip.ai</t>
        </is>
      </c>
      <c r="G336" s="13" t="inlineStr">
        <is>
          <t>a0b42bc7-af28-40a5-80c2-7a103169a005</t>
        </is>
      </c>
    </row>
    <row r="337">
      <c r="A337" s="13" t="inlineStr">
        <is>
          <t>a5f013b8</t>
        </is>
      </c>
      <c r="B337" s="13" t="inlineStr">
        <is>
          <t>2026-09-01T16:03:02.22Z</t>
        </is>
      </c>
      <c r="C337" s="13" t="inlineStr">
        <is>
          <t>NONE</t>
        </is>
      </c>
      <c r="D337" s="13" t="inlineStr">
        <is>
          <t>needs_decomp</t>
        </is>
      </c>
      <c r="E337" s="13" t="inlineStr">
        <is>
          <t>SPAWNED</t>
        </is>
      </c>
      <c r="F337" s="13" t="inlineStr">
        <is>
          <t>system@tsip.ai</t>
        </is>
      </c>
      <c r="G337" s="13" t="inlineStr">
        <is>
          <t>a5f013b8-ef14-4437-bea0-630504093c40</t>
        </is>
      </c>
    </row>
    <row r="338">
      <c r="A338" s="13" t="inlineStr">
        <is>
          <t>a5f013b8</t>
        </is>
      </c>
      <c r="B338" s="13" t="inlineStr">
        <is>
          <t>2026-09-01T16:11:39.758Z</t>
        </is>
      </c>
      <c r="C338" s="13" t="inlineStr">
        <is>
          <t>needs_decomp</t>
        </is>
      </c>
      <c r="D338" s="13" t="inlineStr">
        <is>
          <t>needs_decomp</t>
        </is>
      </c>
      <c r="E338" s="13" t="inlineStr">
        <is>
          <t>AUTO_POOL</t>
        </is>
      </c>
      <c r="F338" s="13" t="inlineStr">
        <is>
          <t>apathy@uchicago.edu</t>
        </is>
      </c>
      <c r="G338" s="13" t="inlineStr">
        <is>
          <t>a5f013b8-ef14-4437-bea0-630504093c40</t>
        </is>
      </c>
    </row>
    <row r="339">
      <c r="A339" s="13" t="inlineStr">
        <is>
          <t>a5f013b8</t>
        </is>
      </c>
      <c r="B339" s="13" t="inlineStr">
        <is>
          <t>2026-09-01T16:11:39.801Z</t>
        </is>
      </c>
      <c r="C339" s="13" t="inlineStr">
        <is>
          <t>needs_decomp</t>
        </is>
      </c>
      <c r="D339" s="13" t="inlineStr">
        <is>
          <t>decomp_complexity_check</t>
        </is>
      </c>
      <c r="E339" s="13" t="inlineStr">
        <is>
          <t>SUBMIT_DECOMP</t>
        </is>
      </c>
      <c r="F339" s="13" t="inlineStr">
        <is>
          <t>apathy@uchicago.edu</t>
        </is>
      </c>
      <c r="G339" s="13" t="inlineStr">
        <is>
          <t>a5f013b8-ef14-4437-bea0-630504093c40</t>
        </is>
      </c>
    </row>
    <row r="340">
      <c r="A340" s="13" t="inlineStr">
        <is>
          <t>a5f013b8</t>
        </is>
      </c>
      <c r="B340" s="13" t="inlineStr">
        <is>
          <t>2026-09-01T16:11:46Z</t>
        </is>
      </c>
      <c r="C340" s="13" t="inlineStr">
        <is>
          <t>decomp_complexity_check</t>
        </is>
      </c>
      <c r="D340" s="13" t="inlineStr">
        <is>
          <t>decomp_complexity_check</t>
        </is>
      </c>
      <c r="E340" s="13" t="inlineStr">
        <is>
          <t>FIELDS_WRITE</t>
        </is>
      </c>
      <c r="F340" s="13" t="inlineStr">
        <is>
          <t>system@tsip.ai</t>
        </is>
      </c>
      <c r="G340" s="13" t="inlineStr">
        <is>
          <t>a5f013b8-ef14-4437-bea0-630504093c40</t>
        </is>
      </c>
    </row>
    <row r="341">
      <c r="A341" s="13" t="inlineStr">
        <is>
          <t>a5f013b8</t>
        </is>
      </c>
      <c r="B341" s="13" t="inlineStr">
        <is>
          <t>2026-09-01T16:11:46.737Z</t>
        </is>
      </c>
      <c r="C341" s="13" t="inlineStr">
        <is>
          <t>decomp_complexity_check</t>
        </is>
      </c>
      <c r="D341" s="13" t="inlineStr">
        <is>
          <t>generating_outline</t>
        </is>
      </c>
      <c r="E341" s="13" t="inlineStr">
        <is>
          <t>COMPLEXITY_CHECK_DONE</t>
        </is>
      </c>
      <c r="F341" s="13" t="inlineStr">
        <is>
          <t>system@tsip.ai</t>
        </is>
      </c>
      <c r="G341" s="13" t="inlineStr">
        <is>
          <t>a5f013b8-ef14-4437-bea0-630504093c40</t>
        </is>
      </c>
    </row>
    <row r="342">
      <c r="A342" s="13" t="inlineStr">
        <is>
          <t>a5f013b8</t>
        </is>
      </c>
      <c r="B342" s="13" t="inlineStr">
        <is>
          <t>2026-09-01T16:16:26.663Z</t>
        </is>
      </c>
      <c r="C342" s="13" t="inlineStr">
        <is>
          <t>generating_outline</t>
        </is>
      </c>
      <c r="D342" s="13" t="inlineStr">
        <is>
          <t>decomp_review</t>
        </is>
      </c>
      <c r="E342" s="13" t="inlineStr">
        <is>
          <t>SUBMIT_TASK_OUTLINE</t>
        </is>
      </c>
      <c r="F342" s="13" t="inlineStr">
        <is>
          <t>system@tsip.ai</t>
        </is>
      </c>
      <c r="G342" s="13" t="inlineStr">
        <is>
          <t>a5f013b8-ef14-4437-bea0-630504093c40</t>
        </is>
      </c>
    </row>
    <row r="343">
      <c r="A343" s="13" t="inlineStr">
        <is>
          <t>a5f013b8</t>
        </is>
      </c>
      <c r="B343" s="13" t="inlineStr">
        <is>
          <t>2026-09-01T21:57:05.904Z</t>
        </is>
      </c>
      <c r="C343" s="13" t="inlineStr">
        <is>
          <t>decomp_review</t>
        </is>
      </c>
      <c r="D343" s="13" t="inlineStr">
        <is>
          <t>generating_outline</t>
        </is>
      </c>
      <c r="E343" s="13" t="inlineStr">
        <is>
          <t>ADMIN_OVERRIDE</t>
        </is>
      </c>
      <c r="F343" s="13" t="inlineStr">
        <is>
          <t>ali@meridian.ai</t>
        </is>
      </c>
      <c r="G343" s="13" t="inlineStr">
        <is>
          <t>a5f013b8-ef14-4437-bea0-630504093c40</t>
        </is>
      </c>
    </row>
    <row r="344">
      <c r="A344" s="13" t="inlineStr">
        <is>
          <t>a5f013b8</t>
        </is>
      </c>
      <c r="B344" s="13" t="inlineStr">
        <is>
          <t>2026-09-01T22:09:40.26Z</t>
        </is>
      </c>
      <c r="C344" s="13" t="inlineStr">
        <is>
          <t>generating_outline</t>
        </is>
      </c>
      <c r="D344" s="13" t="inlineStr">
        <is>
          <t>generating_outline</t>
        </is>
      </c>
      <c r="E344" s="13" t="inlineStr">
        <is>
          <t>FIELDS_WRITE</t>
        </is>
      </c>
      <c r="F344" s="13" t="inlineStr">
        <is>
          <t>system@tsip.ai</t>
        </is>
      </c>
      <c r="G344" s="13" t="inlineStr">
        <is>
          <t>a5f013b8-ef14-4437-bea0-630504093c40</t>
        </is>
      </c>
    </row>
    <row r="345">
      <c r="A345" s="13" t="inlineStr">
        <is>
          <t>a5f013b8</t>
        </is>
      </c>
      <c r="B345" s="13" t="inlineStr">
        <is>
          <t>2026-09-01T22:09:41.859Z</t>
        </is>
      </c>
      <c r="C345" s="13" t="inlineStr">
        <is>
          <t>generating_outline</t>
        </is>
      </c>
      <c r="D345" s="13" t="inlineStr">
        <is>
          <t>decomp_review</t>
        </is>
      </c>
      <c r="E345" s="13" t="inlineStr">
        <is>
          <t>SUBMIT_TASK_OUTLINE</t>
        </is>
      </c>
      <c r="F345" s="13" t="inlineStr">
        <is>
          <t>system@tsip.ai</t>
        </is>
      </c>
      <c r="G345" s="13" t="inlineStr">
        <is>
          <t>a5f013b8-ef14-4437-bea0-630504093c40</t>
        </is>
      </c>
    </row>
    <row r="346">
      <c r="A346" s="13" t="inlineStr">
        <is>
          <t>c4ba7c97</t>
        </is>
      </c>
      <c r="B346" s="13" t="inlineStr">
        <is>
          <t>2026-08-31T00:29:58.746Z</t>
        </is>
      </c>
      <c r="C346" s="13" t="inlineStr">
        <is>
          <t>NONE</t>
        </is>
      </c>
      <c r="D346" s="13" t="inlineStr">
        <is>
          <t>needs_decomp</t>
        </is>
      </c>
      <c r="E346" s="13" t="inlineStr">
        <is>
          <t>CLONED</t>
        </is>
      </c>
      <c r="F346" s="13" t="inlineStr">
        <is>
          <t>system@tsip.ai</t>
        </is>
      </c>
      <c r="G346" s="13" t="inlineStr">
        <is>
          <t>c4ba7c97-5f2e-4e3e-8f63-3d68539868bc</t>
        </is>
      </c>
    </row>
    <row r="347">
      <c r="A347" s="13" t="inlineStr">
        <is>
          <t>c4ba7c97</t>
        </is>
      </c>
      <c r="B347" s="13" t="inlineStr">
        <is>
          <t>2026-08-31T00:40:45.369Z</t>
        </is>
      </c>
      <c r="C347" s="13" t="inlineStr">
        <is>
          <t>needs_decomp</t>
        </is>
      </c>
      <c r="D347" s="13" t="inlineStr">
        <is>
          <t>needs_decomp</t>
        </is>
      </c>
      <c r="E347" s="13" t="inlineStr">
        <is>
          <t>POOL_CLAIM</t>
        </is>
      </c>
      <c r="F347" s="13" t="inlineStr">
        <is>
          <t>wangche2532@gmail.com</t>
        </is>
      </c>
      <c r="G347" s="13" t="inlineStr">
        <is>
          <t>c4ba7c97-5f2e-4e3e-8f63-3d68539868bc</t>
        </is>
      </c>
    </row>
    <row r="348">
      <c r="A348" s="13" t="inlineStr">
        <is>
          <t>c4ba7c97</t>
        </is>
      </c>
      <c r="B348" s="13" t="inlineStr">
        <is>
          <t>2026-08-31T17:19:32.072Z</t>
        </is>
      </c>
      <c r="C348" s="13" t="inlineStr">
        <is>
          <t>needs_decomp</t>
        </is>
      </c>
      <c r="D348" s="13" t="inlineStr">
        <is>
          <t>needs_decomp</t>
        </is>
      </c>
      <c r="E348" s="13" t="inlineStr">
        <is>
          <t>AUTO_POOL</t>
        </is>
      </c>
      <c r="F348" s="13" t="inlineStr">
        <is>
          <t>wangche2532@gmail.com</t>
        </is>
      </c>
      <c r="G348" s="13" t="inlineStr">
        <is>
          <t>c4ba7c97-5f2e-4e3e-8f63-3d68539868bc</t>
        </is>
      </c>
    </row>
    <row r="349">
      <c r="A349" s="13" t="inlineStr">
        <is>
          <t>c4ba7c97</t>
        </is>
      </c>
      <c r="B349" s="13" t="inlineStr">
        <is>
          <t>2026-08-31T17:19:32.106Z</t>
        </is>
      </c>
      <c r="C349" s="13" t="inlineStr">
        <is>
          <t>needs_decomp</t>
        </is>
      </c>
      <c r="D349" s="13" t="inlineStr">
        <is>
          <t>decomp_complexity_check</t>
        </is>
      </c>
      <c r="E349" s="13" t="inlineStr">
        <is>
          <t>SUBMIT_DECOMP</t>
        </is>
      </c>
      <c r="F349" s="13" t="inlineStr">
        <is>
          <t>wangche2532@gmail.com</t>
        </is>
      </c>
      <c r="G349" s="13" t="inlineStr">
        <is>
          <t>c4ba7c97-5f2e-4e3e-8f63-3d68539868bc</t>
        </is>
      </c>
    </row>
    <row r="350">
      <c r="A350" s="13" t="inlineStr">
        <is>
          <t>c4ba7c97</t>
        </is>
      </c>
      <c r="B350" s="13" t="inlineStr">
        <is>
          <t>2026-08-31T17:19:40.861Z</t>
        </is>
      </c>
      <c r="C350" s="13" t="inlineStr">
        <is>
          <t>decomp_complexity_check</t>
        </is>
      </c>
      <c r="D350" s="13" t="inlineStr">
        <is>
          <t>decomp_complexity_check</t>
        </is>
      </c>
      <c r="E350" s="13" t="inlineStr">
        <is>
          <t>FIELDS_WRITE</t>
        </is>
      </c>
      <c r="F350" s="13" t="inlineStr">
        <is>
          <t>system@tsip.ai</t>
        </is>
      </c>
      <c r="G350" s="13" t="inlineStr">
        <is>
          <t>c4ba7c97-5f2e-4e3e-8f63-3d68539868bc</t>
        </is>
      </c>
    </row>
    <row r="351">
      <c r="A351" s="13" t="inlineStr">
        <is>
          <t>c4ba7c97</t>
        </is>
      </c>
      <c r="B351" s="13" t="inlineStr">
        <is>
          <t>2026-08-31T17:19:44.128Z</t>
        </is>
      </c>
      <c r="C351" s="13" t="inlineStr">
        <is>
          <t>decomp_complexity_check</t>
        </is>
      </c>
      <c r="D351" s="13" t="inlineStr">
        <is>
          <t>generating_outline</t>
        </is>
      </c>
      <c r="E351" s="13" t="inlineStr">
        <is>
          <t>COMPLEXITY_CHECK_DONE</t>
        </is>
      </c>
      <c r="F351" s="13" t="inlineStr">
        <is>
          <t>system@tsip.ai</t>
        </is>
      </c>
      <c r="G351" s="13" t="inlineStr">
        <is>
          <t>c4ba7c97-5f2e-4e3e-8f63-3d68539868bc</t>
        </is>
      </c>
    </row>
    <row r="352">
      <c r="A352" s="13" t="inlineStr">
        <is>
          <t>c4ba7c97</t>
        </is>
      </c>
      <c r="B352" s="13" t="inlineStr">
        <is>
          <t>2026-08-31T17:21:23.178Z</t>
        </is>
      </c>
      <c r="C352" s="13" t="inlineStr">
        <is>
          <t>generating_outline</t>
        </is>
      </c>
      <c r="D352" s="13" t="inlineStr">
        <is>
          <t>decomp_review</t>
        </is>
      </c>
      <c r="E352" s="13" t="inlineStr">
        <is>
          <t>SUBMIT_TASK_OUTLINE</t>
        </is>
      </c>
      <c r="F352" s="13" t="inlineStr">
        <is>
          <t>system@tsip.ai</t>
        </is>
      </c>
      <c r="G352" s="13" t="inlineStr">
        <is>
          <t>c4ba7c97-5f2e-4e3e-8f63-3d68539868bc</t>
        </is>
      </c>
    </row>
    <row r="353">
      <c r="A353" s="13" t="inlineStr">
        <is>
          <t>c4ba7c97</t>
        </is>
      </c>
      <c r="B353" s="13" t="inlineStr">
        <is>
          <t>2026-09-01T21:57:08.34Z</t>
        </is>
      </c>
      <c r="C353" s="13" t="inlineStr">
        <is>
          <t>decomp_review</t>
        </is>
      </c>
      <c r="D353" s="13" t="inlineStr">
        <is>
          <t>generating_outline</t>
        </is>
      </c>
      <c r="E353" s="13" t="inlineStr">
        <is>
          <t>ADMIN_OVERRIDE</t>
        </is>
      </c>
      <c r="F353" s="13" t="inlineStr">
        <is>
          <t>ali@meridian.ai</t>
        </is>
      </c>
      <c r="G353" s="13" t="inlineStr">
        <is>
          <t>c4ba7c97-5f2e-4e3e-8f63-3d68539868bc</t>
        </is>
      </c>
    </row>
    <row r="354">
      <c r="A354" s="13" t="inlineStr">
        <is>
          <t>c4ba7c97</t>
        </is>
      </c>
      <c r="B354" s="13" t="inlineStr">
        <is>
          <t>2026-09-01T21:59:33.577Z</t>
        </is>
      </c>
      <c r="C354" s="13" t="inlineStr">
        <is>
          <t>generating_outline</t>
        </is>
      </c>
      <c r="D354" s="13" t="inlineStr">
        <is>
          <t>generating_outline</t>
        </is>
      </c>
      <c r="E354" s="13" t="inlineStr">
        <is>
          <t>FIELDS_WRITE</t>
        </is>
      </c>
      <c r="F354" s="13" t="inlineStr">
        <is>
          <t>system@tsip.ai</t>
        </is>
      </c>
      <c r="G354" s="13" t="inlineStr">
        <is>
          <t>c4ba7c97-5f2e-4e3e-8f63-3d68539868bc</t>
        </is>
      </c>
    </row>
    <row r="355">
      <c r="A355" s="13" t="inlineStr">
        <is>
          <t>c4ba7c97</t>
        </is>
      </c>
      <c r="B355" s="13" t="inlineStr">
        <is>
          <t>2026-09-01T21:59:34.592Z</t>
        </is>
      </c>
      <c r="C355" s="13" t="inlineStr">
        <is>
          <t>generating_outline</t>
        </is>
      </c>
      <c r="D355" s="13" t="inlineStr">
        <is>
          <t>decomp_review</t>
        </is>
      </c>
      <c r="E355" s="13" t="inlineStr">
        <is>
          <t>SUBMIT_TASK_OUTLINE</t>
        </is>
      </c>
      <c r="F355" s="13" t="inlineStr">
        <is>
          <t>system@tsip.ai</t>
        </is>
      </c>
      <c r="G355" s="13" t="inlineStr">
        <is>
          <t>c4ba7c97-5f2e-4e3e-8f63-3d68539868bc</t>
        </is>
      </c>
    </row>
    <row r="356">
      <c r="A356" s="13" t="inlineStr">
        <is>
          <t>c4ed90cb</t>
        </is>
      </c>
      <c r="B356" s="13" t="inlineStr">
        <is>
          <t>2026-09-01T15:06:01.398Z</t>
        </is>
      </c>
      <c r="C356" s="13" t="inlineStr">
        <is>
          <t>NONE</t>
        </is>
      </c>
      <c r="D356" s="13" t="inlineStr">
        <is>
          <t>needs_decomp</t>
        </is>
      </c>
      <c r="E356" s="13" t="inlineStr">
        <is>
          <t>SPAWNED</t>
        </is>
      </c>
      <c r="F356" s="13" t="inlineStr">
        <is>
          <t>system@tsip.ai</t>
        </is>
      </c>
      <c r="G356" s="13" t="inlineStr">
        <is>
          <t>c4ed90cb-4e82-408b-82fa-f52a782f72d3</t>
        </is>
      </c>
    </row>
    <row r="357">
      <c r="A357" s="13" t="inlineStr">
        <is>
          <t>c4ed90cb</t>
        </is>
      </c>
      <c r="B357" s="13" t="inlineStr">
        <is>
          <t>2026-09-01T15:13:28.434Z</t>
        </is>
      </c>
      <c r="C357" s="13" t="inlineStr">
        <is>
          <t>needs_decomp</t>
        </is>
      </c>
      <c r="D357" s="13" t="inlineStr">
        <is>
          <t>needs_decomp</t>
        </is>
      </c>
      <c r="E357" s="13" t="inlineStr">
        <is>
          <t>AUTO_POOL</t>
        </is>
      </c>
      <c r="F357" s="13" t="inlineStr">
        <is>
          <t>apathy@uchicago.edu</t>
        </is>
      </c>
      <c r="G357" s="13" t="inlineStr">
        <is>
          <t>c4ed90cb-4e82-408b-82fa-f52a782f72d3</t>
        </is>
      </c>
    </row>
    <row r="358">
      <c r="A358" s="13" t="inlineStr">
        <is>
          <t>c4ed90cb</t>
        </is>
      </c>
      <c r="B358" s="13" t="inlineStr">
        <is>
          <t>2026-09-01T15:13:28.461Z</t>
        </is>
      </c>
      <c r="C358" s="13" t="inlineStr">
        <is>
          <t>needs_decomp</t>
        </is>
      </c>
      <c r="D358" s="13" t="inlineStr">
        <is>
          <t>decomp_complexity_check</t>
        </is>
      </c>
      <c r="E358" s="13" t="inlineStr">
        <is>
          <t>SUBMIT_DECOMP</t>
        </is>
      </c>
      <c r="F358" s="13" t="inlineStr">
        <is>
          <t>apathy@uchicago.edu</t>
        </is>
      </c>
      <c r="G358" s="13" t="inlineStr">
        <is>
          <t>c4ed90cb-4e82-408b-82fa-f52a782f72d3</t>
        </is>
      </c>
    </row>
    <row r="359">
      <c r="A359" s="13" t="inlineStr">
        <is>
          <t>c4ed90cb</t>
        </is>
      </c>
      <c r="B359" s="13" t="inlineStr">
        <is>
          <t>2026-09-01T15:13:43.082Z</t>
        </is>
      </c>
      <c r="C359" s="13" t="inlineStr">
        <is>
          <t>decomp_complexity_check</t>
        </is>
      </c>
      <c r="D359" s="13" t="inlineStr">
        <is>
          <t>decomp_complexity_check</t>
        </is>
      </c>
      <c r="E359" s="13" t="inlineStr">
        <is>
          <t>FIELDS_WRITE</t>
        </is>
      </c>
      <c r="F359" s="13" t="inlineStr">
        <is>
          <t>system@tsip.ai</t>
        </is>
      </c>
      <c r="G359" s="13" t="inlineStr">
        <is>
          <t>c4ed90cb-4e82-408b-82fa-f52a782f72d3</t>
        </is>
      </c>
    </row>
    <row r="360">
      <c r="A360" s="13" t="inlineStr">
        <is>
          <t>c4ed90cb</t>
        </is>
      </c>
      <c r="B360" s="13" t="inlineStr">
        <is>
          <t>2026-09-01T15:13:43.947Z</t>
        </is>
      </c>
      <c r="C360" s="13" t="inlineStr">
        <is>
          <t>decomp_complexity_check</t>
        </is>
      </c>
      <c r="D360" s="13" t="inlineStr">
        <is>
          <t>generating_outline</t>
        </is>
      </c>
      <c r="E360" s="13" t="inlineStr">
        <is>
          <t>COMPLEXITY_CHECK_DONE</t>
        </is>
      </c>
      <c r="F360" s="13" t="inlineStr">
        <is>
          <t>system@tsip.ai</t>
        </is>
      </c>
      <c r="G360" s="13" t="inlineStr">
        <is>
          <t>c4ed90cb-4e82-408b-82fa-f52a782f72d3</t>
        </is>
      </c>
    </row>
    <row r="361">
      <c r="A361" s="13" t="inlineStr">
        <is>
          <t>c4ed90cb</t>
        </is>
      </c>
      <c r="B361" s="13" t="inlineStr">
        <is>
          <t>2026-09-01T15:14:33.938Z</t>
        </is>
      </c>
      <c r="C361" s="13" t="inlineStr">
        <is>
          <t>generating_outline</t>
        </is>
      </c>
      <c r="D361" s="13" t="inlineStr">
        <is>
          <t>generating_outline</t>
        </is>
      </c>
      <c r="E361" s="13" t="inlineStr">
        <is>
          <t>FIELDS_WRITE</t>
        </is>
      </c>
      <c r="F361" s="13" t="inlineStr">
        <is>
          <t>system@tsip.ai</t>
        </is>
      </c>
      <c r="G361" s="13" t="inlineStr">
        <is>
          <t>c4ed90cb-4e82-408b-82fa-f52a782f72d3</t>
        </is>
      </c>
    </row>
    <row r="362">
      <c r="A362" s="13" t="inlineStr">
        <is>
          <t>c4ed90cb</t>
        </is>
      </c>
      <c r="B362" s="13" t="inlineStr">
        <is>
          <t>2026-09-01T15:14:35.445Z</t>
        </is>
      </c>
      <c r="C362" s="13" t="inlineStr">
        <is>
          <t>generating_outline</t>
        </is>
      </c>
      <c r="D362" s="13" t="inlineStr">
        <is>
          <t>decomp_review</t>
        </is>
      </c>
      <c r="E362" s="13" t="inlineStr">
        <is>
          <t>SUBMIT_TASK_OUTLINE</t>
        </is>
      </c>
      <c r="F362" s="13" t="inlineStr">
        <is>
          <t>system@tsip.ai</t>
        </is>
      </c>
      <c r="G362" s="13" t="inlineStr">
        <is>
          <t>c4ed90cb-4e82-408b-82fa-f52a782f72d3</t>
        </is>
      </c>
    </row>
    <row r="363">
      <c r="A363" s="13" t="inlineStr">
        <is>
          <t>c4ed90cb</t>
        </is>
      </c>
      <c r="B363" s="13" t="inlineStr">
        <is>
          <t>2026-09-01T22:55:47.111Z</t>
        </is>
      </c>
      <c r="C363" s="13" t="inlineStr">
        <is>
          <t>decomp_review</t>
        </is>
      </c>
      <c r="D363" s="13" t="inlineStr">
        <is>
          <t>generating_outline</t>
        </is>
      </c>
      <c r="E363" s="13" t="inlineStr">
        <is>
          <t>ADMIN_OVERRIDE</t>
        </is>
      </c>
      <c r="F363" s="13" t="inlineStr">
        <is>
          <t>ali@meridian.ai</t>
        </is>
      </c>
      <c r="G363" s="13" t="inlineStr">
        <is>
          <t>c4ed90cb-4e82-408b-82fa-f52a782f72d3</t>
        </is>
      </c>
    </row>
    <row r="364">
      <c r="A364" s="13" t="inlineStr">
        <is>
          <t>c4ed90cb</t>
        </is>
      </c>
      <c r="B364" s="13" t="inlineStr">
        <is>
          <t>2026-09-01T22:59:20.634Z</t>
        </is>
      </c>
      <c r="C364" s="13" t="inlineStr">
        <is>
          <t>generating_outline</t>
        </is>
      </c>
      <c r="D364" s="13" t="inlineStr">
        <is>
          <t>failed_generating_outline</t>
        </is>
      </c>
      <c r="E364" s="13" t="inlineStr">
        <is>
          <t>TASK_OUTLINE_FAILED</t>
        </is>
      </c>
      <c r="F364" s="13" t="inlineStr">
        <is>
          <t>system@tsip.ai</t>
        </is>
      </c>
      <c r="G364" s="13" t="inlineStr">
        <is>
          <t>c4ed90cb-4e82-408b-82fa-f52a782f72d3</t>
        </is>
      </c>
    </row>
    <row r="365">
      <c r="A365" s="13" t="inlineStr">
        <is>
          <t>c4ed90cb</t>
        </is>
      </c>
      <c r="B365" s="13" t="inlineStr">
        <is>
          <t>2026-09-02T00:02:18.67Z</t>
        </is>
      </c>
      <c r="C365" s="13" t="inlineStr">
        <is>
          <t>failed_generating_outline</t>
        </is>
      </c>
      <c r="D365" s="13" t="inlineStr">
        <is>
          <t>generating_outline</t>
        </is>
      </c>
      <c r="E365" s="13" t="inlineStr">
        <is>
          <t>ADMIN_OVERRIDE</t>
        </is>
      </c>
      <c r="F365" s="13" t="inlineStr">
        <is>
          <t>ali@meridian.ai</t>
        </is>
      </c>
      <c r="G365" s="13" t="inlineStr">
        <is>
          <t>c4ed90cb-4e82-408b-82fa-f52a782f72d3</t>
        </is>
      </c>
    </row>
    <row r="366">
      <c r="A366" s="13" t="inlineStr">
        <is>
          <t>c4ed90cb</t>
        </is>
      </c>
      <c r="B366" s="13" t="inlineStr">
        <is>
          <t>2026-09-02T00:05:29.224Z</t>
        </is>
      </c>
      <c r="C366" s="13" t="inlineStr">
        <is>
          <t>generating_outline</t>
        </is>
      </c>
      <c r="D366" s="13" t="inlineStr">
        <is>
          <t>generating_outline</t>
        </is>
      </c>
      <c r="E366" s="13" t="inlineStr">
        <is>
          <t>FIELDS_WRITE</t>
        </is>
      </c>
      <c r="F366" s="13" t="inlineStr">
        <is>
          <t>system@tsip.ai</t>
        </is>
      </c>
      <c r="G366" s="13" t="inlineStr">
        <is>
          <t>c4ed90cb-4e82-408b-82fa-f52a782f72d3</t>
        </is>
      </c>
    </row>
    <row r="367">
      <c r="A367" s="13" t="inlineStr">
        <is>
          <t>c4ed90cb</t>
        </is>
      </c>
      <c r="B367" s="13" t="inlineStr">
        <is>
          <t>2026-09-02T00:05:30.303Z</t>
        </is>
      </c>
      <c r="C367" s="13" t="inlineStr">
        <is>
          <t>generating_outline</t>
        </is>
      </c>
      <c r="D367" s="13" t="inlineStr">
        <is>
          <t>decomp_review</t>
        </is>
      </c>
      <c r="E367" s="13" t="inlineStr">
        <is>
          <t>SUBMIT_TASK_OUTLINE</t>
        </is>
      </c>
      <c r="F367" s="13" t="inlineStr">
        <is>
          <t>system@tsip.ai</t>
        </is>
      </c>
      <c r="G367" s="13" t="inlineStr">
        <is>
          <t>c4ed90cb-4e82-408b-82fa-f52a782f72d3</t>
        </is>
      </c>
    </row>
    <row r="368">
      <c r="A368" s="13" t="inlineStr">
        <is>
          <t>cfb56338</t>
        </is>
      </c>
      <c r="B368" s="13" t="inlineStr">
        <is>
          <t>2026-09-01T20:29:51.826Z</t>
        </is>
      </c>
      <c r="C368" s="13" t="inlineStr">
        <is>
          <t>NONE</t>
        </is>
      </c>
      <c r="D368" s="13" t="inlineStr">
        <is>
          <t>needs_decomp</t>
        </is>
      </c>
      <c r="E368" s="13" t="inlineStr">
        <is>
          <t>SPAWNED</t>
        </is>
      </c>
      <c r="F368" s="13" t="inlineStr">
        <is>
          <t>system@tsip.ai</t>
        </is>
      </c>
      <c r="G368" s="13" t="inlineStr">
        <is>
          <t>cfb56338-4a27-42d5-9e0d-9e59b2fa8640</t>
        </is>
      </c>
    </row>
    <row r="369">
      <c r="A369" s="13" t="inlineStr">
        <is>
          <t>cfb56338</t>
        </is>
      </c>
      <c r="B369" s="13" t="inlineStr">
        <is>
          <t>2026-09-01T20:34:04.117Z</t>
        </is>
      </c>
      <c r="C369" s="13" t="inlineStr">
        <is>
          <t>needs_decomp</t>
        </is>
      </c>
      <c r="D369" s="13" t="inlineStr">
        <is>
          <t>needs_decomp</t>
        </is>
      </c>
      <c r="E369" s="13" t="inlineStr">
        <is>
          <t>AUTO_POOL</t>
        </is>
      </c>
      <c r="F369" s="13" t="inlineStr">
        <is>
          <t>mshuriah2702@gmail.com</t>
        </is>
      </c>
      <c r="G369" s="13" t="inlineStr">
        <is>
          <t>cfb56338-4a27-42d5-9e0d-9e59b2fa8640</t>
        </is>
      </c>
    </row>
    <row r="370">
      <c r="A370" s="13" t="inlineStr">
        <is>
          <t>cfb56338</t>
        </is>
      </c>
      <c r="B370" s="13" t="inlineStr">
        <is>
          <t>2026-09-01T20:34:04.22Z</t>
        </is>
      </c>
      <c r="C370" s="13" t="inlineStr">
        <is>
          <t>needs_decomp</t>
        </is>
      </c>
      <c r="D370" s="13" t="inlineStr">
        <is>
          <t>decomp_complexity_check</t>
        </is>
      </c>
      <c r="E370" s="13" t="inlineStr">
        <is>
          <t>SUBMIT_DECOMP</t>
        </is>
      </c>
      <c r="F370" s="13" t="inlineStr">
        <is>
          <t>mshuriah2702@gmail.com</t>
        </is>
      </c>
      <c r="G370" s="13" t="inlineStr">
        <is>
          <t>cfb56338-4a27-42d5-9e0d-9e59b2fa8640</t>
        </is>
      </c>
    </row>
    <row r="371">
      <c r="A371" s="13" t="inlineStr">
        <is>
          <t>cfb56338</t>
        </is>
      </c>
      <c r="B371" s="13" t="inlineStr">
        <is>
          <t>2026-09-01T20:34:15.342Z</t>
        </is>
      </c>
      <c r="C371" s="13" t="inlineStr">
        <is>
          <t>decomp_complexity_check</t>
        </is>
      </c>
      <c r="D371" s="13" t="inlineStr">
        <is>
          <t>decomp_complexity_check</t>
        </is>
      </c>
      <c r="E371" s="13" t="inlineStr">
        <is>
          <t>FIELDS_WRITE</t>
        </is>
      </c>
      <c r="F371" s="13" t="inlineStr">
        <is>
          <t>system@tsip.ai</t>
        </is>
      </c>
      <c r="G371" s="13" t="inlineStr">
        <is>
          <t>cfb56338-4a27-42d5-9e0d-9e59b2fa8640</t>
        </is>
      </c>
    </row>
    <row r="372">
      <c r="A372" s="13" t="inlineStr">
        <is>
          <t>cfb56338</t>
        </is>
      </c>
      <c r="B372" s="13" t="inlineStr">
        <is>
          <t>2026-09-01T20:34:17.628Z</t>
        </is>
      </c>
      <c r="C372" s="13" t="inlineStr">
        <is>
          <t>decomp_complexity_check</t>
        </is>
      </c>
      <c r="D372" s="13" t="inlineStr">
        <is>
          <t>generating_outline</t>
        </is>
      </c>
      <c r="E372" s="13" t="inlineStr">
        <is>
          <t>COMPLEXITY_CHECK_DONE</t>
        </is>
      </c>
      <c r="F372" s="13" t="inlineStr">
        <is>
          <t>system@tsip.ai</t>
        </is>
      </c>
      <c r="G372" s="13" t="inlineStr">
        <is>
          <t>cfb56338-4a27-42d5-9e0d-9e59b2fa8640</t>
        </is>
      </c>
    </row>
    <row r="373">
      <c r="A373" s="13" t="inlineStr">
        <is>
          <t>cfb56338</t>
        </is>
      </c>
      <c r="B373" s="13" t="inlineStr">
        <is>
          <t>2026-09-01T20:35:06.88Z</t>
        </is>
      </c>
      <c r="C373" s="13" t="inlineStr">
        <is>
          <t>generating_outline</t>
        </is>
      </c>
      <c r="D373" s="13" t="inlineStr">
        <is>
          <t>decomp_review</t>
        </is>
      </c>
      <c r="E373" s="13" t="inlineStr">
        <is>
          <t>SUBMIT_TASK_OUTLINE</t>
        </is>
      </c>
      <c r="F373" s="13" t="inlineStr">
        <is>
          <t>system@tsip.ai</t>
        </is>
      </c>
      <c r="G373" s="13" t="inlineStr">
        <is>
          <t>cfb56338-4a27-42d5-9e0d-9e59b2fa8640</t>
        </is>
      </c>
    </row>
    <row r="374">
      <c r="A374" s="13" t="inlineStr">
        <is>
          <t>cfb56338</t>
        </is>
      </c>
      <c r="B374" s="13" t="inlineStr">
        <is>
          <t>2026-09-01T21:57:06.954Z</t>
        </is>
      </c>
      <c r="C374" s="13" t="inlineStr">
        <is>
          <t>decomp_review</t>
        </is>
      </c>
      <c r="D374" s="13" t="inlineStr">
        <is>
          <t>generating_outline</t>
        </is>
      </c>
      <c r="E374" s="13" t="inlineStr">
        <is>
          <t>ADMIN_OVERRIDE</t>
        </is>
      </c>
      <c r="F374" s="13" t="inlineStr">
        <is>
          <t>ali@meridian.ai</t>
        </is>
      </c>
      <c r="G374" s="13" t="inlineStr">
        <is>
          <t>cfb56338-4a27-42d5-9e0d-9e59b2fa8640</t>
        </is>
      </c>
    </row>
    <row r="375">
      <c r="A375" s="13" t="inlineStr">
        <is>
          <t>cfb56338</t>
        </is>
      </c>
      <c r="B375" s="13" t="inlineStr">
        <is>
          <t>2026-09-01T22:02:50.26Z</t>
        </is>
      </c>
      <c r="C375" s="13" t="inlineStr">
        <is>
          <t>generating_outline</t>
        </is>
      </c>
      <c r="D375" s="13" t="inlineStr">
        <is>
          <t>generating_outline</t>
        </is>
      </c>
      <c r="E375" s="13" t="inlineStr">
        <is>
          <t>FIELDS_WRITE</t>
        </is>
      </c>
      <c r="F375" s="13" t="inlineStr">
        <is>
          <t>system@tsip.ai</t>
        </is>
      </c>
      <c r="G375" s="13" t="inlineStr">
        <is>
          <t>cfb56338-4a27-42d5-9e0d-9e59b2fa8640</t>
        </is>
      </c>
    </row>
    <row r="376">
      <c r="A376" s="13" t="inlineStr">
        <is>
          <t>cfb56338</t>
        </is>
      </c>
      <c r="B376" s="13" t="inlineStr">
        <is>
          <t>2026-09-01T22:02:51.371Z</t>
        </is>
      </c>
      <c r="C376" s="13" t="inlineStr">
        <is>
          <t>generating_outline</t>
        </is>
      </c>
      <c r="D376" s="13" t="inlineStr">
        <is>
          <t>decomp_review</t>
        </is>
      </c>
      <c r="E376" s="13" t="inlineStr">
        <is>
          <t>SUBMIT_TASK_OUTLINE</t>
        </is>
      </c>
      <c r="F376" s="13" t="inlineStr">
        <is>
          <t>system@tsip.ai</t>
        </is>
      </c>
      <c r="G376" s="13" t="inlineStr">
        <is>
          <t>cfb56338-4a27-42d5-9e0d-9e59b2fa8640</t>
        </is>
      </c>
    </row>
    <row r="377">
      <c r="A377" s="13" t="inlineStr">
        <is>
          <t>d010dfa4</t>
        </is>
      </c>
      <c r="B377" s="13" t="inlineStr">
        <is>
          <t>2026-08-30T01:13:11.268Z</t>
        </is>
      </c>
      <c r="C377" s="13" t="inlineStr">
        <is>
          <t>NONE</t>
        </is>
      </c>
      <c r="D377" s="13" t="inlineStr">
        <is>
          <t>needs_decomp</t>
        </is>
      </c>
      <c r="E377" s="13" t="inlineStr">
        <is>
          <t>CLONED</t>
        </is>
      </c>
      <c r="F377" s="13" t="inlineStr">
        <is>
          <t>system@tsip.ai</t>
        </is>
      </c>
      <c r="G377" s="13" t="inlineStr">
        <is>
          <t>d010dfa4-e4d0-42a5-a7f6-a3ef1e58e0e9</t>
        </is>
      </c>
    </row>
    <row r="378">
      <c r="A378" s="13" t="inlineStr">
        <is>
          <t>d010dfa4</t>
        </is>
      </c>
      <c r="B378" s="13" t="inlineStr">
        <is>
          <t>2026-08-30T01:52:40.834Z</t>
        </is>
      </c>
      <c r="C378" s="13" t="inlineStr">
        <is>
          <t>needs_decomp</t>
        </is>
      </c>
      <c r="D378" s="13" t="inlineStr">
        <is>
          <t>needs_decomp</t>
        </is>
      </c>
      <c r="E378" s="13" t="inlineStr">
        <is>
          <t>POOL_CLAIM</t>
        </is>
      </c>
      <c r="F378" s="13" t="inlineStr">
        <is>
          <t>mshuriah2702@gmail.com</t>
        </is>
      </c>
      <c r="G378" s="13" t="inlineStr">
        <is>
          <t>d010dfa4-e4d0-42a5-a7f6-a3ef1e58e0e9</t>
        </is>
      </c>
    </row>
    <row r="379">
      <c r="A379" s="13" t="inlineStr">
        <is>
          <t>d010dfa4</t>
        </is>
      </c>
      <c r="B379" s="13" t="inlineStr">
        <is>
          <t>2026-09-01T20:28:48.838Z</t>
        </is>
      </c>
      <c r="C379" s="13" t="inlineStr">
        <is>
          <t>needs_decomp</t>
        </is>
      </c>
      <c r="D379" s="13" t="inlineStr">
        <is>
          <t>needs_decomp</t>
        </is>
      </c>
      <c r="E379" s="13" t="inlineStr">
        <is>
          <t>AUTO_POOL</t>
        </is>
      </c>
      <c r="F379" s="13" t="inlineStr">
        <is>
          <t>mshuriah2702@gmail.com</t>
        </is>
      </c>
      <c r="G379" s="13" t="inlineStr">
        <is>
          <t>d010dfa4-e4d0-42a5-a7f6-a3ef1e58e0e9</t>
        </is>
      </c>
    </row>
    <row r="380">
      <c r="A380" s="13" t="inlineStr">
        <is>
          <t>d010dfa4</t>
        </is>
      </c>
      <c r="B380" s="13" t="inlineStr">
        <is>
          <t>2026-09-01T20:28:48.875Z</t>
        </is>
      </c>
      <c r="C380" s="13" t="inlineStr">
        <is>
          <t>needs_decomp</t>
        </is>
      </c>
      <c r="D380" s="13" t="inlineStr">
        <is>
          <t>decomp_complexity_check</t>
        </is>
      </c>
      <c r="E380" s="13" t="inlineStr">
        <is>
          <t>SUBMIT_DECOMP</t>
        </is>
      </c>
      <c r="F380" s="13" t="inlineStr">
        <is>
          <t>mshuriah2702@gmail.com</t>
        </is>
      </c>
      <c r="G380" s="13" t="inlineStr">
        <is>
          <t>d010dfa4-e4d0-42a5-a7f6-a3ef1e58e0e9</t>
        </is>
      </c>
    </row>
    <row r="381">
      <c r="A381" s="13" t="inlineStr">
        <is>
          <t>d010dfa4</t>
        </is>
      </c>
      <c r="B381" s="13" t="inlineStr">
        <is>
          <t>2026-09-01T20:29:02.249Z</t>
        </is>
      </c>
      <c r="C381" s="13" t="inlineStr">
        <is>
          <t>decomp_complexity_check</t>
        </is>
      </c>
      <c r="D381" s="13" t="inlineStr">
        <is>
          <t>decomp_complexity_check</t>
        </is>
      </c>
      <c r="E381" s="13" t="inlineStr">
        <is>
          <t>FIELDS_WRITE</t>
        </is>
      </c>
      <c r="F381" s="13" t="inlineStr">
        <is>
          <t>system@tsip.ai</t>
        </is>
      </c>
      <c r="G381" s="13" t="inlineStr">
        <is>
          <t>d010dfa4-e4d0-42a5-a7f6-a3ef1e58e0e9</t>
        </is>
      </c>
    </row>
    <row r="382">
      <c r="A382" s="13" t="inlineStr">
        <is>
          <t>d010dfa4</t>
        </is>
      </c>
      <c r="B382" s="13" t="inlineStr">
        <is>
          <t>2026-09-01T20:29:05.806Z</t>
        </is>
      </c>
      <c r="C382" s="13" t="inlineStr">
        <is>
          <t>decomp_complexity_check</t>
        </is>
      </c>
      <c r="D382" s="13" t="inlineStr">
        <is>
          <t>generating_outline</t>
        </is>
      </c>
      <c r="E382" s="13" t="inlineStr">
        <is>
          <t>COMPLEXITY_CHECK_DONE</t>
        </is>
      </c>
      <c r="F382" s="13" t="inlineStr">
        <is>
          <t>system@tsip.ai</t>
        </is>
      </c>
      <c r="G382" s="13" t="inlineStr">
        <is>
          <t>d010dfa4-e4d0-42a5-a7f6-a3ef1e58e0e9</t>
        </is>
      </c>
    </row>
    <row r="383">
      <c r="A383" s="13" t="inlineStr">
        <is>
          <t>d010dfa4</t>
        </is>
      </c>
      <c r="B383" s="13" t="inlineStr">
        <is>
          <t>2026-09-01T20:30:03.661Z</t>
        </is>
      </c>
      <c r="C383" s="13" t="inlineStr">
        <is>
          <t>generating_outline</t>
        </is>
      </c>
      <c r="D383" s="13" t="inlineStr">
        <is>
          <t>decomp_review</t>
        </is>
      </c>
      <c r="E383" s="13" t="inlineStr">
        <is>
          <t>SUBMIT_TASK_OUTLINE</t>
        </is>
      </c>
      <c r="F383" s="13" t="inlineStr">
        <is>
          <t>system@tsip.ai</t>
        </is>
      </c>
      <c r="G383" s="13" t="inlineStr">
        <is>
          <t>d010dfa4-e4d0-42a5-a7f6-a3ef1e58e0e9</t>
        </is>
      </c>
    </row>
    <row r="384">
      <c r="A384" s="13" t="inlineStr">
        <is>
          <t>d010dfa4</t>
        </is>
      </c>
      <c r="B384" s="13" t="inlineStr">
        <is>
          <t>2026-09-01T21:57:05.772Z</t>
        </is>
      </c>
      <c r="C384" s="13" t="inlineStr">
        <is>
          <t>decomp_review</t>
        </is>
      </c>
      <c r="D384" s="13" t="inlineStr">
        <is>
          <t>generating_outline</t>
        </is>
      </c>
      <c r="E384" s="13" t="inlineStr">
        <is>
          <t>ADMIN_OVERRIDE</t>
        </is>
      </c>
      <c r="F384" s="13" t="inlineStr">
        <is>
          <t>ali@meridian.ai</t>
        </is>
      </c>
      <c r="G384" s="13" t="inlineStr">
        <is>
          <t>d010dfa4-e4d0-42a5-a7f6-a3ef1e58e0e9</t>
        </is>
      </c>
    </row>
    <row r="385">
      <c r="A385" s="13" t="inlineStr">
        <is>
          <t>d010dfa4</t>
        </is>
      </c>
      <c r="B385" s="13" t="inlineStr">
        <is>
          <t>2026-09-01T22:09:38.409Z</t>
        </is>
      </c>
      <c r="C385" s="13" t="inlineStr">
        <is>
          <t>generating_outline</t>
        </is>
      </c>
      <c r="D385" s="13" t="inlineStr">
        <is>
          <t>generating_outline</t>
        </is>
      </c>
      <c r="E385" s="13" t="inlineStr">
        <is>
          <t>FIELDS_WRITE</t>
        </is>
      </c>
      <c r="F385" s="13" t="inlineStr">
        <is>
          <t>system@tsip.ai</t>
        </is>
      </c>
      <c r="G385" s="13" t="inlineStr">
        <is>
          <t>d010dfa4-e4d0-42a5-a7f6-a3ef1e58e0e9</t>
        </is>
      </c>
    </row>
    <row r="386">
      <c r="A386" s="13" t="inlineStr">
        <is>
          <t>d010dfa4</t>
        </is>
      </c>
      <c r="B386" s="13" t="inlineStr">
        <is>
          <t>2026-09-01T22:09:39.474Z</t>
        </is>
      </c>
      <c r="C386" s="13" t="inlineStr">
        <is>
          <t>generating_outline</t>
        </is>
      </c>
      <c r="D386" s="13" t="inlineStr">
        <is>
          <t>decomp_review</t>
        </is>
      </c>
      <c r="E386" s="13" t="inlineStr">
        <is>
          <t>SUBMIT_TASK_OUTLINE</t>
        </is>
      </c>
      <c r="F386" s="13" t="inlineStr">
        <is>
          <t>system@tsip.ai</t>
        </is>
      </c>
      <c r="G386" s="13" t="inlineStr">
        <is>
          <t>d010dfa4-e4d0-42a5-a7f6-a3ef1e58e0e9</t>
        </is>
      </c>
    </row>
    <row r="387">
      <c r="A387" s="13" t="inlineStr">
        <is>
          <t>d75d1c87</t>
        </is>
      </c>
      <c r="B387" s="13" t="inlineStr">
        <is>
          <t>2026-08-31T19:14:14.097Z</t>
        </is>
      </c>
      <c r="C387" s="13" t="inlineStr">
        <is>
          <t>NONE</t>
        </is>
      </c>
      <c r="D387" s="13" t="inlineStr">
        <is>
          <t>needs_decomp</t>
        </is>
      </c>
      <c r="E387" s="13" t="inlineStr">
        <is>
          <t>CLONED</t>
        </is>
      </c>
      <c r="F387" s="13" t="inlineStr">
        <is>
          <t>system@tsip.ai</t>
        </is>
      </c>
      <c r="G387" s="13" t="inlineStr">
        <is>
          <t>d75d1c87-cc80-461b-a894-47ea156cad3f</t>
        </is>
      </c>
    </row>
    <row r="388">
      <c r="A388" s="13" t="inlineStr">
        <is>
          <t>d75d1c87</t>
        </is>
      </c>
      <c r="B388" s="13" t="inlineStr">
        <is>
          <t>2026-08-31T19:16:23.681Z</t>
        </is>
      </c>
      <c r="C388" s="13" t="inlineStr">
        <is>
          <t>needs_decomp</t>
        </is>
      </c>
      <c r="D388" s="13" t="inlineStr">
        <is>
          <t>needs_decomp</t>
        </is>
      </c>
      <c r="E388" s="13" t="inlineStr">
        <is>
          <t>POOL_CLAIM</t>
        </is>
      </c>
      <c r="F388" s="13" t="inlineStr">
        <is>
          <t>mshuriah2702@gmail.com</t>
        </is>
      </c>
      <c r="G388" s="13" t="inlineStr">
        <is>
          <t>d75d1c87-cc80-461b-a894-47ea156cad3f</t>
        </is>
      </c>
    </row>
    <row r="389">
      <c r="A389" s="13" t="inlineStr">
        <is>
          <t>d75d1c87</t>
        </is>
      </c>
      <c r="B389" s="13" t="inlineStr">
        <is>
          <t>2026-09-01T23:13:47.716Z</t>
        </is>
      </c>
      <c r="C389" s="13" t="inlineStr">
        <is>
          <t>needs_decomp</t>
        </is>
      </c>
      <c r="D389" s="13" t="inlineStr">
        <is>
          <t>needs_decomp</t>
        </is>
      </c>
      <c r="E389" s="13" t="inlineStr">
        <is>
          <t>AUTO_POOL</t>
        </is>
      </c>
      <c r="F389" s="13" t="inlineStr">
        <is>
          <t>mshuriah2702@gmail.com</t>
        </is>
      </c>
      <c r="G389" s="13" t="inlineStr">
        <is>
          <t>d75d1c87-cc80-461b-a894-47ea156cad3f</t>
        </is>
      </c>
    </row>
    <row r="390">
      <c r="A390" s="13" t="inlineStr">
        <is>
          <t>d75d1c87</t>
        </is>
      </c>
      <c r="B390" s="13" t="inlineStr">
        <is>
          <t>2026-09-01T23:13:47.75Z</t>
        </is>
      </c>
      <c r="C390" s="13" t="inlineStr">
        <is>
          <t>needs_decomp</t>
        </is>
      </c>
      <c r="D390" s="13" t="inlineStr">
        <is>
          <t>decomp_complexity_check</t>
        </is>
      </c>
      <c r="E390" s="13" t="inlineStr">
        <is>
          <t>SUBMIT_DECOMP</t>
        </is>
      </c>
      <c r="F390" s="13" t="inlineStr">
        <is>
          <t>mshuriah2702@gmail.com</t>
        </is>
      </c>
      <c r="G390" s="13" t="inlineStr">
        <is>
          <t>d75d1c87-cc80-461b-a894-47ea156cad3f</t>
        </is>
      </c>
    </row>
    <row r="391">
      <c r="A391" s="13" t="inlineStr">
        <is>
          <t>d75d1c87</t>
        </is>
      </c>
      <c r="B391" s="13" t="inlineStr">
        <is>
          <t>2026-09-01T23:13:59.623Z</t>
        </is>
      </c>
      <c r="C391" s="13" t="inlineStr">
        <is>
          <t>decomp_complexity_check</t>
        </is>
      </c>
      <c r="D391" s="13" t="inlineStr">
        <is>
          <t>decomp_complexity_check</t>
        </is>
      </c>
      <c r="E391" s="13" t="inlineStr">
        <is>
          <t>FIELDS_WRITE</t>
        </is>
      </c>
      <c r="F391" s="13" t="inlineStr">
        <is>
          <t>system@tsip.ai</t>
        </is>
      </c>
      <c r="G391" s="13" t="inlineStr">
        <is>
          <t>d75d1c87-cc80-461b-a894-47ea156cad3f</t>
        </is>
      </c>
    </row>
    <row r="392">
      <c r="A392" s="13" t="inlineStr">
        <is>
          <t>d75d1c87</t>
        </is>
      </c>
      <c r="B392" s="13" t="inlineStr">
        <is>
          <t>2026-09-01T23:14:03.259Z</t>
        </is>
      </c>
      <c r="C392" s="13" t="inlineStr">
        <is>
          <t>decomp_complexity_check</t>
        </is>
      </c>
      <c r="D392" s="13" t="inlineStr">
        <is>
          <t>generating_outline</t>
        </is>
      </c>
      <c r="E392" s="13" t="inlineStr">
        <is>
          <t>COMPLEXITY_CHECK_DONE</t>
        </is>
      </c>
      <c r="F392" s="13" t="inlineStr">
        <is>
          <t>system@tsip.ai</t>
        </is>
      </c>
      <c r="G392" s="13" t="inlineStr">
        <is>
          <t>d75d1c87-cc80-461b-a894-47ea156cad3f</t>
        </is>
      </c>
    </row>
    <row r="393">
      <c r="A393" s="13" t="inlineStr">
        <is>
          <t>d75d1c87</t>
        </is>
      </c>
      <c r="B393" s="13" t="inlineStr">
        <is>
          <t>2026-09-01T23:21:13.991Z</t>
        </is>
      </c>
      <c r="C393" s="13" t="inlineStr">
        <is>
          <t>generating_outline</t>
        </is>
      </c>
      <c r="D393" s="13" t="inlineStr">
        <is>
          <t>generating_outline</t>
        </is>
      </c>
      <c r="E393" s="13" t="inlineStr">
        <is>
          <t>FIELDS_WRITE</t>
        </is>
      </c>
      <c r="F393" s="13" t="inlineStr">
        <is>
          <t>system@tsip.ai</t>
        </is>
      </c>
      <c r="G393" s="13" t="inlineStr">
        <is>
          <t>d75d1c87-cc80-461b-a894-47ea156cad3f</t>
        </is>
      </c>
    </row>
    <row r="394">
      <c r="A394" s="13" t="inlineStr">
        <is>
          <t>d75d1c87</t>
        </is>
      </c>
      <c r="B394" s="13" t="inlineStr">
        <is>
          <t>2026-09-01T23:21:15.076Z</t>
        </is>
      </c>
      <c r="C394" s="13" t="inlineStr">
        <is>
          <t>generating_outline</t>
        </is>
      </c>
      <c r="D394" s="13" t="inlineStr">
        <is>
          <t>decomp_review</t>
        </is>
      </c>
      <c r="E394" s="13" t="inlineStr">
        <is>
          <t>SUBMIT_TASK_OUTLINE</t>
        </is>
      </c>
      <c r="F394" s="13" t="inlineStr">
        <is>
          <t>system@tsip.ai</t>
        </is>
      </c>
      <c r="G394" s="13" t="inlineStr">
        <is>
          <t>d75d1c87-cc80-461b-a894-47ea156cad3f</t>
        </is>
      </c>
    </row>
    <row r="395">
      <c r="A395" s="13" t="inlineStr">
        <is>
          <t>e8ad8af9</t>
        </is>
      </c>
      <c r="B395" s="13" t="inlineStr">
        <is>
          <t>2026-08-31T15:23:16.257Z</t>
        </is>
      </c>
      <c r="C395" s="13" t="inlineStr">
        <is>
          <t>NONE</t>
        </is>
      </c>
      <c r="D395" s="13" t="inlineStr">
        <is>
          <t>needs_decomp</t>
        </is>
      </c>
      <c r="E395" s="13" t="inlineStr">
        <is>
          <t>SPAWNED</t>
        </is>
      </c>
      <c r="F395" s="13" t="inlineStr">
        <is>
          <t>system@tsip.ai</t>
        </is>
      </c>
      <c r="G395" s="13" t="inlineStr">
        <is>
          <t>e8ad8af9-0dc2-4a47-915d-69799551aad9</t>
        </is>
      </c>
    </row>
    <row r="396">
      <c r="A396" s="13" t="inlineStr">
        <is>
          <t>e8ad8af9</t>
        </is>
      </c>
      <c r="B396" s="13" t="inlineStr">
        <is>
          <t>2026-08-31T15:24:09.049Z</t>
        </is>
      </c>
      <c r="C396" s="13" t="inlineStr">
        <is>
          <t>needs_decomp</t>
        </is>
      </c>
      <c r="D396" s="13" t="inlineStr">
        <is>
          <t>needs_decomp</t>
        </is>
      </c>
      <c r="E396" s="13" t="inlineStr">
        <is>
          <t>AUTO_POOL</t>
        </is>
      </c>
      <c r="F396" s="13" t="inlineStr">
        <is>
          <t>infinitearbitrage@gmail.com</t>
        </is>
      </c>
      <c r="G396" s="13" t="inlineStr">
        <is>
          <t>e8ad8af9-0dc2-4a47-915d-69799551aad9</t>
        </is>
      </c>
    </row>
    <row r="397">
      <c r="A397" s="13" t="inlineStr">
        <is>
          <t>e8ad8af9</t>
        </is>
      </c>
      <c r="B397" s="13" t="inlineStr">
        <is>
          <t>2026-08-31T15:24:09.095Z</t>
        </is>
      </c>
      <c r="C397" s="13" t="inlineStr">
        <is>
          <t>needs_decomp</t>
        </is>
      </c>
      <c r="D397" s="13" t="inlineStr">
        <is>
          <t>decomp_complexity_check</t>
        </is>
      </c>
      <c r="E397" s="13" t="inlineStr">
        <is>
          <t>SUBMIT_DECOMP</t>
        </is>
      </c>
      <c r="F397" s="13" t="inlineStr">
        <is>
          <t>infinitearbitrage@gmail.com</t>
        </is>
      </c>
      <c r="G397" s="13" t="inlineStr">
        <is>
          <t>e8ad8af9-0dc2-4a47-915d-69799551aad9</t>
        </is>
      </c>
    </row>
    <row r="398">
      <c r="A398" s="13" t="inlineStr">
        <is>
          <t>e8ad8af9</t>
        </is>
      </c>
      <c r="B398" s="13" t="inlineStr">
        <is>
          <t>2026-08-31T15:24:12.976Z</t>
        </is>
      </c>
      <c r="C398" s="13" t="inlineStr">
        <is>
          <t>decomp_complexity_check</t>
        </is>
      </c>
      <c r="D398" s="13" t="inlineStr">
        <is>
          <t>decomp_complexity_check</t>
        </is>
      </c>
      <c r="E398" s="13" t="inlineStr">
        <is>
          <t>FIELDS_WRITE</t>
        </is>
      </c>
      <c r="F398" s="13" t="inlineStr">
        <is>
          <t>system@tsip.ai</t>
        </is>
      </c>
      <c r="G398" s="13" t="inlineStr">
        <is>
          <t>e8ad8af9-0dc2-4a47-915d-69799551aad9</t>
        </is>
      </c>
    </row>
    <row r="399">
      <c r="A399" s="13" t="inlineStr">
        <is>
          <t>e8ad8af9</t>
        </is>
      </c>
      <c r="B399" s="13" t="inlineStr">
        <is>
          <t>2026-08-31T15:24:13.746Z</t>
        </is>
      </c>
      <c r="C399" s="13" t="inlineStr">
        <is>
          <t>decomp_complexity_check</t>
        </is>
      </c>
      <c r="D399" s="13" t="inlineStr">
        <is>
          <t>generating_outline</t>
        </is>
      </c>
      <c r="E399" s="13" t="inlineStr">
        <is>
          <t>COMPLEXITY_CHECK_DONE</t>
        </is>
      </c>
      <c r="F399" s="13" t="inlineStr">
        <is>
          <t>system@tsip.ai</t>
        </is>
      </c>
      <c r="G399" s="13" t="inlineStr">
        <is>
          <t>e8ad8af9-0dc2-4a47-915d-69799551aad9</t>
        </is>
      </c>
    </row>
    <row r="400">
      <c r="A400" s="13" t="inlineStr">
        <is>
          <t>e8ad8af9</t>
        </is>
      </c>
      <c r="B400" s="13" t="inlineStr">
        <is>
          <t>2026-08-31T15:25:11.451Z</t>
        </is>
      </c>
      <c r="C400" s="13" t="inlineStr">
        <is>
          <t>generating_outline</t>
        </is>
      </c>
      <c r="D400" s="13" t="inlineStr">
        <is>
          <t>decomp_review</t>
        </is>
      </c>
      <c r="E400" s="13" t="inlineStr">
        <is>
          <t>SUBMIT_TASK_OUTLINE</t>
        </is>
      </c>
      <c r="F400" s="13" t="inlineStr">
        <is>
          <t>system@tsip.ai</t>
        </is>
      </c>
      <c r="G400" s="13" t="inlineStr">
        <is>
          <t>e8ad8af9-0dc2-4a47-915d-69799551aad9</t>
        </is>
      </c>
    </row>
    <row r="401">
      <c r="A401" s="13" t="inlineStr">
        <is>
          <t>e8ad8af9</t>
        </is>
      </c>
      <c r="B401" s="13" t="inlineStr">
        <is>
          <t>2026-09-01T21:57:07.905Z</t>
        </is>
      </c>
      <c r="C401" s="13" t="inlineStr">
        <is>
          <t>decomp_review</t>
        </is>
      </c>
      <c r="D401" s="13" t="inlineStr">
        <is>
          <t>generating_outline</t>
        </is>
      </c>
      <c r="E401" s="13" t="inlineStr">
        <is>
          <t>ADMIN_OVERRIDE</t>
        </is>
      </c>
      <c r="F401" s="13" t="inlineStr">
        <is>
          <t>ali@meridian.ai</t>
        </is>
      </c>
      <c r="G401" s="13" t="inlineStr">
        <is>
          <t>e8ad8af9-0dc2-4a47-915d-69799551aad9</t>
        </is>
      </c>
    </row>
    <row r="402">
      <c r="A402" s="13" t="inlineStr">
        <is>
          <t>e8ad8af9</t>
        </is>
      </c>
      <c r="B402" s="13" t="inlineStr">
        <is>
          <t>2026-09-01T21:59:25.935Z</t>
        </is>
      </c>
      <c r="C402" s="13" t="inlineStr">
        <is>
          <t>generating_outline</t>
        </is>
      </c>
      <c r="D402" s="13" t="inlineStr">
        <is>
          <t>generating_outline</t>
        </is>
      </c>
      <c r="E402" s="13" t="inlineStr">
        <is>
          <t>FIELDS_WRITE</t>
        </is>
      </c>
      <c r="F402" s="13" t="inlineStr">
        <is>
          <t>system@tsip.ai</t>
        </is>
      </c>
      <c r="G402" s="13" t="inlineStr">
        <is>
          <t>e8ad8af9-0dc2-4a47-915d-69799551aad9</t>
        </is>
      </c>
    </row>
    <row r="403">
      <c r="A403" s="13" t="inlineStr">
        <is>
          <t>e8ad8af9</t>
        </is>
      </c>
      <c r="B403" s="13" t="inlineStr">
        <is>
          <t>2026-09-01T21:59:26.933Z</t>
        </is>
      </c>
      <c r="C403" s="13" t="inlineStr">
        <is>
          <t>generating_outline</t>
        </is>
      </c>
      <c r="D403" s="13" t="inlineStr">
        <is>
          <t>decomp_review</t>
        </is>
      </c>
      <c r="E403" s="13" t="inlineStr">
        <is>
          <t>SUBMIT_TASK_OUTLINE</t>
        </is>
      </c>
      <c r="F403" s="13" t="inlineStr">
        <is>
          <t>system@tsip.ai</t>
        </is>
      </c>
      <c r="G403" s="13" t="inlineStr">
        <is>
          <t>e8ad8af9-0dc2-4a47-915d-69799551aad9</t>
        </is>
      </c>
    </row>
    <row r="404">
      <c r="A404" s="13" t="inlineStr">
        <is>
          <t>f09e7718</t>
        </is>
      </c>
      <c r="B404" s="13" t="inlineStr">
        <is>
          <t>2026-09-01T23:17:14.71Z</t>
        </is>
      </c>
      <c r="C404" s="13" t="inlineStr">
        <is>
          <t>NONE</t>
        </is>
      </c>
      <c r="D404" s="13" t="inlineStr">
        <is>
          <t>needs_decomp</t>
        </is>
      </c>
      <c r="E404" s="13" t="inlineStr">
        <is>
          <t>SPAWNED</t>
        </is>
      </c>
      <c r="F404" s="13" t="inlineStr">
        <is>
          <t>system@tsip.ai</t>
        </is>
      </c>
      <c r="G404" s="13" t="inlineStr">
        <is>
          <t>f09e7718-c4bf-4bb1-964a-5a914acc6ee4</t>
        </is>
      </c>
    </row>
    <row r="405">
      <c r="A405" s="13" t="inlineStr">
        <is>
          <t>f09e7718</t>
        </is>
      </c>
      <c r="B405" s="13" t="inlineStr">
        <is>
          <t>2026-09-01T23:17:57.08Z</t>
        </is>
      </c>
      <c r="C405" s="13" t="inlineStr">
        <is>
          <t>needs_decomp</t>
        </is>
      </c>
      <c r="D405" s="13" t="inlineStr">
        <is>
          <t>needs_decomp</t>
        </is>
      </c>
      <c r="E405" s="13" t="inlineStr">
        <is>
          <t>AUTO_POOL</t>
        </is>
      </c>
      <c r="F405" s="13" t="inlineStr">
        <is>
          <t>mshuriah2702@gmail.com</t>
        </is>
      </c>
      <c r="G405" s="13" t="inlineStr">
        <is>
          <t>f09e7718-c4bf-4bb1-964a-5a914acc6ee4</t>
        </is>
      </c>
    </row>
    <row r="406">
      <c r="A406" s="13" t="inlineStr">
        <is>
          <t>f09e7718</t>
        </is>
      </c>
      <c r="B406" s="13" t="inlineStr">
        <is>
          <t>2026-09-01T23:17:57.203Z</t>
        </is>
      </c>
      <c r="C406" s="13" t="inlineStr">
        <is>
          <t>needs_decomp</t>
        </is>
      </c>
      <c r="D406" s="13" t="inlineStr">
        <is>
          <t>decomp_complexity_check</t>
        </is>
      </c>
      <c r="E406" s="13" t="inlineStr">
        <is>
          <t>SUBMIT_DECOMP</t>
        </is>
      </c>
      <c r="F406" s="13" t="inlineStr">
        <is>
          <t>mshuriah2702@gmail.com</t>
        </is>
      </c>
      <c r="G406" s="13" t="inlineStr">
        <is>
          <t>f09e7718-c4bf-4bb1-964a-5a914acc6ee4</t>
        </is>
      </c>
    </row>
    <row r="407">
      <c r="A407" s="13" t="inlineStr">
        <is>
          <t>f09e7718</t>
        </is>
      </c>
      <c r="B407" s="13" t="inlineStr">
        <is>
          <t>2026-09-01T23:18:07.45Z</t>
        </is>
      </c>
      <c r="C407" s="13" t="inlineStr">
        <is>
          <t>decomp_complexity_check</t>
        </is>
      </c>
      <c r="D407" s="13" t="inlineStr">
        <is>
          <t>decomp_complexity_check</t>
        </is>
      </c>
      <c r="E407" s="13" t="inlineStr">
        <is>
          <t>FIELDS_WRITE</t>
        </is>
      </c>
      <c r="F407" s="13" t="inlineStr">
        <is>
          <t>system@tsip.ai</t>
        </is>
      </c>
      <c r="G407" s="13" t="inlineStr">
        <is>
          <t>f09e7718-c4bf-4bb1-964a-5a914acc6ee4</t>
        </is>
      </c>
    </row>
    <row r="408">
      <c r="A408" s="13" t="inlineStr">
        <is>
          <t>f09e7718</t>
        </is>
      </c>
      <c r="B408" s="13" t="inlineStr">
        <is>
          <t>2026-09-01T23:18:08.314Z</t>
        </is>
      </c>
      <c r="C408" s="13" t="inlineStr">
        <is>
          <t>decomp_complexity_check</t>
        </is>
      </c>
      <c r="D408" s="13" t="inlineStr">
        <is>
          <t>generating_outline</t>
        </is>
      </c>
      <c r="E408" s="13" t="inlineStr">
        <is>
          <t>COMPLEXITY_CHECK_DONE</t>
        </is>
      </c>
      <c r="F408" s="13" t="inlineStr">
        <is>
          <t>system@tsip.ai</t>
        </is>
      </c>
      <c r="G408" s="13" t="inlineStr">
        <is>
          <t>f09e7718-c4bf-4bb1-964a-5a914acc6ee4</t>
        </is>
      </c>
    </row>
    <row r="409">
      <c r="A409" s="13" t="inlineStr">
        <is>
          <t>f09e7718</t>
        </is>
      </c>
      <c r="B409" s="13" t="inlineStr">
        <is>
          <t>2026-09-01T23:20:18.225Z</t>
        </is>
      </c>
      <c r="C409" s="13" t="inlineStr">
        <is>
          <t>generating_outline</t>
        </is>
      </c>
      <c r="D409" s="13" t="inlineStr">
        <is>
          <t>generating_outline</t>
        </is>
      </c>
      <c r="E409" s="13" t="inlineStr">
        <is>
          <t>FIELDS_WRITE</t>
        </is>
      </c>
      <c r="F409" s="13" t="inlineStr">
        <is>
          <t>system@tsip.ai</t>
        </is>
      </c>
      <c r="G409" s="13" t="inlineStr">
        <is>
          <t>f09e7718-c4bf-4bb1-964a-5a914acc6ee4</t>
        </is>
      </c>
    </row>
    <row r="410">
      <c r="A410" s="13" t="inlineStr">
        <is>
          <t>f09e7718</t>
        </is>
      </c>
      <c r="B410" s="13" t="inlineStr">
        <is>
          <t>2026-09-01T23:20:19.443Z</t>
        </is>
      </c>
      <c r="C410" s="13" t="inlineStr">
        <is>
          <t>generating_outline</t>
        </is>
      </c>
      <c r="D410" s="13" t="inlineStr">
        <is>
          <t>decomp_review</t>
        </is>
      </c>
      <c r="E410" s="13" t="inlineStr">
        <is>
          <t>SUBMIT_TASK_OUTLINE</t>
        </is>
      </c>
      <c r="F410" s="13" t="inlineStr">
        <is>
          <t>system@tsip.ai</t>
        </is>
      </c>
      <c r="G410" s="13" t="inlineStr">
        <is>
          <t>f09e7718-c4bf-4bb1-964a-5a914acc6ee4</t>
        </is>
      </c>
    </row>
    <row r="411">
      <c r="A411" s="13" t="inlineStr">
        <is>
          <t>f3efbb17</t>
        </is>
      </c>
      <c r="B411" s="13" t="inlineStr">
        <is>
          <t>2026-08-31T15:49:31.499Z</t>
        </is>
      </c>
      <c r="C411" s="13" t="inlineStr">
        <is>
          <t>NONE</t>
        </is>
      </c>
      <c r="D411" s="13" t="inlineStr">
        <is>
          <t>needs_decomp</t>
        </is>
      </c>
      <c r="E411" s="13" t="inlineStr">
        <is>
          <t>CLONED</t>
        </is>
      </c>
      <c r="F411" s="13" t="inlineStr">
        <is>
          <t>system@tsip.ai</t>
        </is>
      </c>
      <c r="G411" s="13" t="inlineStr">
        <is>
          <t>f3efbb17-561b-44a2-8f87-28e2abf47f9f</t>
        </is>
      </c>
    </row>
    <row r="412">
      <c r="A412" s="13" t="inlineStr">
        <is>
          <t>f3efbb17</t>
        </is>
      </c>
      <c r="B412" s="13" t="inlineStr">
        <is>
          <t>2026-08-31T15:50:22.175Z</t>
        </is>
      </c>
      <c r="C412" s="13" t="inlineStr">
        <is>
          <t>needs_decomp</t>
        </is>
      </c>
      <c r="D412" s="13" t="inlineStr">
        <is>
          <t>needs_decomp</t>
        </is>
      </c>
      <c r="E412" s="13" t="inlineStr">
        <is>
          <t>POOL_CLAIM</t>
        </is>
      </c>
      <c r="F412" s="13" t="inlineStr">
        <is>
          <t>wangche2532@gmail.com</t>
        </is>
      </c>
      <c r="G412" s="13" t="inlineStr">
        <is>
          <t>f3efbb17-561b-44a2-8f87-28e2abf47f9f</t>
        </is>
      </c>
    </row>
    <row r="413">
      <c r="A413" s="13" t="inlineStr">
        <is>
          <t>f3efbb17</t>
        </is>
      </c>
      <c r="B413" s="13" t="inlineStr">
        <is>
          <t>2026-09-01T23:56:03.563Z</t>
        </is>
      </c>
      <c r="C413" s="13" t="inlineStr">
        <is>
          <t>needs_decomp</t>
        </is>
      </c>
      <c r="D413" s="13" t="inlineStr">
        <is>
          <t>needs_decomp</t>
        </is>
      </c>
      <c r="E413" s="13" t="inlineStr">
        <is>
          <t>AUTO_POOL</t>
        </is>
      </c>
      <c r="F413" s="13" t="inlineStr">
        <is>
          <t>wangche2532@gmail.com</t>
        </is>
      </c>
      <c r="G413" s="13" t="inlineStr">
        <is>
          <t>f3efbb17-561b-44a2-8f87-28e2abf47f9f</t>
        </is>
      </c>
    </row>
    <row r="414">
      <c r="A414" s="13" t="inlineStr">
        <is>
          <t>f3efbb17</t>
        </is>
      </c>
      <c r="B414" s="13" t="inlineStr">
        <is>
          <t>2026-09-01T23:56:03.605Z</t>
        </is>
      </c>
      <c r="C414" s="13" t="inlineStr">
        <is>
          <t>needs_decomp</t>
        </is>
      </c>
      <c r="D414" s="13" t="inlineStr">
        <is>
          <t>decomp_complexity_check</t>
        </is>
      </c>
      <c r="E414" s="13" t="inlineStr">
        <is>
          <t>SUBMIT_DECOMP</t>
        </is>
      </c>
      <c r="F414" s="13" t="inlineStr">
        <is>
          <t>wangche2532@gmail.com</t>
        </is>
      </c>
      <c r="G414" s="13" t="inlineStr">
        <is>
          <t>f3efbb17-561b-44a2-8f87-28e2abf47f9f</t>
        </is>
      </c>
    </row>
    <row r="415">
      <c r="A415" s="13" t="inlineStr">
        <is>
          <t>f3efbb17</t>
        </is>
      </c>
      <c r="B415" s="13" t="inlineStr">
        <is>
          <t>2026-09-01T23:56:13.022Z</t>
        </is>
      </c>
      <c r="C415" s="13" t="inlineStr">
        <is>
          <t>decomp_complexity_check</t>
        </is>
      </c>
      <c r="D415" s="13" t="inlineStr">
        <is>
          <t>decomp_complexity_check</t>
        </is>
      </c>
      <c r="E415" s="13" t="inlineStr">
        <is>
          <t>FIELDS_WRITE</t>
        </is>
      </c>
      <c r="F415" s="13" t="inlineStr">
        <is>
          <t>system@tsip.ai</t>
        </is>
      </c>
      <c r="G415" s="13" t="inlineStr">
        <is>
          <t>f3efbb17-561b-44a2-8f87-28e2abf47f9f</t>
        </is>
      </c>
    </row>
    <row r="416">
      <c r="A416" s="13" t="inlineStr">
        <is>
          <t>f3efbb17</t>
        </is>
      </c>
      <c r="B416" s="13" t="inlineStr">
        <is>
          <t>2026-09-01T23:56:18.095Z</t>
        </is>
      </c>
      <c r="C416" s="13" t="inlineStr">
        <is>
          <t>decomp_complexity_check</t>
        </is>
      </c>
      <c r="D416" s="13" t="inlineStr">
        <is>
          <t>generating_outline</t>
        </is>
      </c>
      <c r="E416" s="13" t="inlineStr">
        <is>
          <t>COMPLEXITY_CHECK_DONE</t>
        </is>
      </c>
      <c r="F416" s="13" t="inlineStr">
        <is>
          <t>system@tsip.ai</t>
        </is>
      </c>
      <c r="G416" s="13" t="inlineStr">
        <is>
          <t>f3efbb17-561b-44a2-8f87-28e2abf47f9f</t>
        </is>
      </c>
    </row>
    <row r="417">
      <c r="A417" s="13" t="inlineStr">
        <is>
          <t>f3efbb17</t>
        </is>
      </c>
      <c r="B417" s="13" t="inlineStr">
        <is>
          <t>2026-09-01T23:58:26.073Z</t>
        </is>
      </c>
      <c r="C417" s="13" t="inlineStr">
        <is>
          <t>generating_outline</t>
        </is>
      </c>
      <c r="D417" s="13" t="inlineStr">
        <is>
          <t>generating_outline</t>
        </is>
      </c>
      <c r="E417" s="13" t="inlineStr">
        <is>
          <t>FIELDS_WRITE</t>
        </is>
      </c>
      <c r="F417" s="13" t="inlineStr">
        <is>
          <t>system@tsip.ai</t>
        </is>
      </c>
      <c r="G417" s="13" t="inlineStr">
        <is>
          <t>f3efbb17-561b-44a2-8f87-28e2abf47f9f</t>
        </is>
      </c>
    </row>
    <row r="418">
      <c r="A418" s="13" t="inlineStr">
        <is>
          <t>f3efbb17</t>
        </is>
      </c>
      <c r="B418" s="13" t="inlineStr">
        <is>
          <t>2026-09-01T23:58:27.164Z</t>
        </is>
      </c>
      <c r="C418" s="13" t="inlineStr">
        <is>
          <t>generating_outline</t>
        </is>
      </c>
      <c r="D418" s="13" t="inlineStr">
        <is>
          <t>decomp_review</t>
        </is>
      </c>
      <c r="E418" s="13" t="inlineStr">
        <is>
          <t>SUBMIT_TASK_OUTLINE</t>
        </is>
      </c>
      <c r="F418" s="13" t="inlineStr">
        <is>
          <t>system@tsip.ai</t>
        </is>
      </c>
      <c r="G418" s="13" t="inlineStr">
        <is>
          <t>f3efbb17-561b-44a2-8f87-28e2abf47f9f</t>
        </is>
      </c>
    </row>
    <row r="419">
      <c r="A419" s="13" t="inlineStr">
        <is>
          <t>f776f992</t>
        </is>
      </c>
      <c r="B419" s="13" t="inlineStr">
        <is>
          <t>2026-08-31T15:22:11.429Z</t>
        </is>
      </c>
      <c r="C419" s="13" t="inlineStr">
        <is>
          <t>NONE</t>
        </is>
      </c>
      <c r="D419" s="13" t="inlineStr">
        <is>
          <t>needs_decomp</t>
        </is>
      </c>
      <c r="E419" s="13" t="inlineStr">
        <is>
          <t>SPAWNED</t>
        </is>
      </c>
      <c r="F419" s="13" t="inlineStr">
        <is>
          <t>system@tsip.ai</t>
        </is>
      </c>
      <c r="G419" s="13" t="inlineStr">
        <is>
          <t>f776f992-cd34-452b-adfe-e65148c3c247</t>
        </is>
      </c>
    </row>
    <row r="420">
      <c r="A420" s="13" t="inlineStr">
        <is>
          <t>f776f992</t>
        </is>
      </c>
      <c r="B420" s="13" t="inlineStr">
        <is>
          <t>2026-08-31T15:23:11.129Z</t>
        </is>
      </c>
      <c r="C420" s="13" t="inlineStr">
        <is>
          <t>needs_decomp</t>
        </is>
      </c>
      <c r="D420" s="13" t="inlineStr">
        <is>
          <t>needs_decomp</t>
        </is>
      </c>
      <c r="E420" s="13" t="inlineStr">
        <is>
          <t>AUTO_POOL</t>
        </is>
      </c>
      <c r="F420" s="13" t="inlineStr">
        <is>
          <t>infinitearbitrage@gmail.com</t>
        </is>
      </c>
      <c r="G420" s="13" t="inlineStr">
        <is>
          <t>f776f992-cd34-452b-adfe-e65148c3c247</t>
        </is>
      </c>
    </row>
    <row r="421">
      <c r="A421" s="13" t="inlineStr">
        <is>
          <t>f776f992</t>
        </is>
      </c>
      <c r="B421" s="13" t="inlineStr">
        <is>
          <t>2026-08-31T15:23:11.157Z</t>
        </is>
      </c>
      <c r="C421" s="13" t="inlineStr">
        <is>
          <t>needs_decomp</t>
        </is>
      </c>
      <c r="D421" s="13" t="inlineStr">
        <is>
          <t>decomp_complexity_check</t>
        </is>
      </c>
      <c r="E421" s="13" t="inlineStr">
        <is>
          <t>SUBMIT_DECOMP</t>
        </is>
      </c>
      <c r="F421" s="13" t="inlineStr">
        <is>
          <t>infinitearbitrage@gmail.com</t>
        </is>
      </c>
      <c r="G421" s="13" t="inlineStr">
        <is>
          <t>f776f992-cd34-452b-adfe-e65148c3c247</t>
        </is>
      </c>
    </row>
    <row r="422">
      <c r="A422" s="13" t="inlineStr">
        <is>
          <t>f776f992</t>
        </is>
      </c>
      <c r="B422" s="13" t="inlineStr">
        <is>
          <t>2026-08-31T15:23:15.398Z</t>
        </is>
      </c>
      <c r="C422" s="13" t="inlineStr">
        <is>
          <t>decomp_complexity_check</t>
        </is>
      </c>
      <c r="D422" s="13" t="inlineStr">
        <is>
          <t>decomp_complexity_check</t>
        </is>
      </c>
      <c r="E422" s="13" t="inlineStr">
        <is>
          <t>FIELDS_WRITE</t>
        </is>
      </c>
      <c r="F422" s="13" t="inlineStr">
        <is>
          <t>system@tsip.ai</t>
        </is>
      </c>
      <c r="G422" s="13" t="inlineStr">
        <is>
          <t>f776f992-cd34-452b-adfe-e65148c3c247</t>
        </is>
      </c>
    </row>
    <row r="423">
      <c r="A423" s="13" t="inlineStr">
        <is>
          <t>f776f992</t>
        </is>
      </c>
      <c r="B423" s="13" t="inlineStr">
        <is>
          <t>2026-08-31T15:23:16.302Z</t>
        </is>
      </c>
      <c r="C423" s="13" t="inlineStr">
        <is>
          <t>decomp_complexity_check</t>
        </is>
      </c>
      <c r="D423" s="13" t="inlineStr">
        <is>
          <t>generating_outline</t>
        </is>
      </c>
      <c r="E423" s="13" t="inlineStr">
        <is>
          <t>COMPLEXITY_CHECK_DONE</t>
        </is>
      </c>
      <c r="F423" s="13" t="inlineStr">
        <is>
          <t>system@tsip.ai</t>
        </is>
      </c>
      <c r="G423" s="13" t="inlineStr">
        <is>
          <t>f776f992-cd34-452b-adfe-e65148c3c247</t>
        </is>
      </c>
    </row>
    <row r="424">
      <c r="A424" s="13" t="inlineStr">
        <is>
          <t>f776f992</t>
        </is>
      </c>
      <c r="B424" s="13" t="inlineStr">
        <is>
          <t>2026-08-31T15:24:08.107Z</t>
        </is>
      </c>
      <c r="C424" s="13" t="inlineStr">
        <is>
          <t>generating_outline</t>
        </is>
      </c>
      <c r="D424" s="13" t="inlineStr">
        <is>
          <t>decomp_review</t>
        </is>
      </c>
      <c r="E424" s="13" t="inlineStr">
        <is>
          <t>SUBMIT_TASK_OUTLINE</t>
        </is>
      </c>
      <c r="F424" s="13" t="inlineStr">
        <is>
          <t>system@tsip.ai</t>
        </is>
      </c>
      <c r="G424" s="13" t="inlineStr">
        <is>
          <t>f776f992-cd34-452b-adfe-e65148c3c247</t>
        </is>
      </c>
    </row>
    <row r="425">
      <c r="A425" s="13" t="inlineStr">
        <is>
          <t>f776f992</t>
        </is>
      </c>
      <c r="B425" s="13" t="inlineStr">
        <is>
          <t>2026-09-01T21:57:07.751Z</t>
        </is>
      </c>
      <c r="C425" s="13" t="inlineStr">
        <is>
          <t>decomp_review</t>
        </is>
      </c>
      <c r="D425" s="13" t="inlineStr">
        <is>
          <t>generating_outline</t>
        </is>
      </c>
      <c r="E425" s="13" t="inlineStr">
        <is>
          <t>ADMIN_OVERRIDE</t>
        </is>
      </c>
      <c r="F425" s="13" t="inlineStr">
        <is>
          <t>ali@meridian.ai</t>
        </is>
      </c>
      <c r="G425" s="13" t="inlineStr">
        <is>
          <t>f776f992-cd34-452b-adfe-e65148c3c247</t>
        </is>
      </c>
    </row>
    <row r="426">
      <c r="A426" s="13" t="inlineStr">
        <is>
          <t>f776f992</t>
        </is>
      </c>
      <c r="B426" s="13" t="inlineStr">
        <is>
          <t>2026-09-01T21:58:29.542Z</t>
        </is>
      </c>
      <c r="C426" s="13" t="inlineStr">
        <is>
          <t>generating_outline</t>
        </is>
      </c>
      <c r="D426" s="13" t="inlineStr">
        <is>
          <t>generating_outline</t>
        </is>
      </c>
      <c r="E426" s="13" t="inlineStr">
        <is>
          <t>FIELDS_WRITE</t>
        </is>
      </c>
      <c r="F426" s="13" t="inlineStr">
        <is>
          <t>system@tsip.ai</t>
        </is>
      </c>
      <c r="G426" s="13" t="inlineStr">
        <is>
          <t>f776f992-cd34-452b-adfe-e65148c3c247</t>
        </is>
      </c>
    </row>
    <row r="427">
      <c r="A427" s="13" t="inlineStr">
        <is>
          <t>f776f992</t>
        </is>
      </c>
      <c r="B427" s="13" t="inlineStr">
        <is>
          <t>2026-09-01T21:58:31.425Z</t>
        </is>
      </c>
      <c r="C427" s="13" t="inlineStr">
        <is>
          <t>generating_outline</t>
        </is>
      </c>
      <c r="D427" s="13" t="inlineStr">
        <is>
          <t>decomp_review</t>
        </is>
      </c>
      <c r="E427" s="13" t="inlineStr">
        <is>
          <t>SUBMIT_TASK_OUTLINE</t>
        </is>
      </c>
      <c r="F427" s="13" t="inlineStr">
        <is>
          <t>system@tsip.ai</t>
        </is>
      </c>
      <c r="G427" s="13" t="inlineStr">
        <is>
          <t>f776f992-cd34-452b-adfe-e65148c3c247</t>
        </is>
      </c>
    </row>
    <row r="428">
      <c r="A428" s="13" t="inlineStr">
        <is>
          <t>f7e83778</t>
        </is>
      </c>
      <c r="B428" s="13" t="inlineStr">
        <is>
          <t>2026-09-01T14:45:23.403Z</t>
        </is>
      </c>
      <c r="C428" s="13" t="inlineStr">
        <is>
          <t>NONE</t>
        </is>
      </c>
      <c r="D428" s="13" t="inlineStr">
        <is>
          <t>needs_decomp</t>
        </is>
      </c>
      <c r="E428" s="13" t="inlineStr">
        <is>
          <t>SPAWNED</t>
        </is>
      </c>
      <c r="F428" s="13" t="inlineStr">
        <is>
          <t>system@tsip.ai</t>
        </is>
      </c>
      <c r="G428" s="13" t="inlineStr">
        <is>
          <t>f7e83778-a8c1-4c8a-a43a-f2c40548cdf6</t>
        </is>
      </c>
    </row>
    <row r="429">
      <c r="A429" s="13" t="inlineStr">
        <is>
          <t>f7e83778</t>
        </is>
      </c>
      <c r="B429" s="13" t="inlineStr">
        <is>
          <t>2026-09-01T14:55:48.367Z</t>
        </is>
      </c>
      <c r="C429" s="13" t="inlineStr">
        <is>
          <t>needs_decomp</t>
        </is>
      </c>
      <c r="D429" s="13" t="inlineStr">
        <is>
          <t>needs_decomp</t>
        </is>
      </c>
      <c r="E429" s="13" t="inlineStr">
        <is>
          <t>AUTO_POOL</t>
        </is>
      </c>
      <c r="F429" s="13" t="inlineStr">
        <is>
          <t>wangche2532@gmail.com</t>
        </is>
      </c>
      <c r="G429" s="13" t="inlineStr">
        <is>
          <t>f7e83778-a8c1-4c8a-a43a-f2c40548cdf6</t>
        </is>
      </c>
    </row>
    <row r="430">
      <c r="A430" s="13" t="inlineStr">
        <is>
          <t>f7e83778</t>
        </is>
      </c>
      <c r="B430" s="13" t="inlineStr">
        <is>
          <t>2026-09-01T14:55:48.39Z</t>
        </is>
      </c>
      <c r="C430" s="13" t="inlineStr">
        <is>
          <t>needs_decomp</t>
        </is>
      </c>
      <c r="D430" s="13" t="inlineStr">
        <is>
          <t>decomp_complexity_check</t>
        </is>
      </c>
      <c r="E430" s="13" t="inlineStr">
        <is>
          <t>SUBMIT_DECOMP</t>
        </is>
      </c>
      <c r="F430" s="13" t="inlineStr">
        <is>
          <t>wangche2532@gmail.com</t>
        </is>
      </c>
      <c r="G430" s="13" t="inlineStr">
        <is>
          <t>f7e83778-a8c1-4c8a-a43a-f2c40548cdf6</t>
        </is>
      </c>
    </row>
    <row r="431">
      <c r="A431" s="13" t="inlineStr">
        <is>
          <t>f7e83778</t>
        </is>
      </c>
      <c r="B431" s="13" t="inlineStr">
        <is>
          <t>2026-09-01T14:58:09.897Z</t>
        </is>
      </c>
      <c r="C431" s="13" t="inlineStr">
        <is>
          <t>decomp_complexity_check</t>
        </is>
      </c>
      <c r="D431" s="13" t="inlineStr">
        <is>
          <t>decomp_complexity_check</t>
        </is>
      </c>
      <c r="E431" s="13" t="inlineStr">
        <is>
          <t>FIELDS_WRITE</t>
        </is>
      </c>
      <c r="F431" s="13" t="inlineStr">
        <is>
          <t>system@tsip.ai</t>
        </is>
      </c>
      <c r="G431" s="13" t="inlineStr">
        <is>
          <t>f7e83778-a8c1-4c8a-a43a-f2c40548cdf6</t>
        </is>
      </c>
    </row>
    <row r="432">
      <c r="A432" s="13" t="inlineStr">
        <is>
          <t>f7e83778</t>
        </is>
      </c>
      <c r="B432" s="13" t="inlineStr">
        <is>
          <t>2026-09-01T14:58:10.991Z</t>
        </is>
      </c>
      <c r="C432" s="13" t="inlineStr">
        <is>
          <t>decomp_complexity_check</t>
        </is>
      </c>
      <c r="D432" s="13" t="inlineStr">
        <is>
          <t>generating_outline</t>
        </is>
      </c>
      <c r="E432" s="13" t="inlineStr">
        <is>
          <t>COMPLEXITY_CHECK_DONE</t>
        </is>
      </c>
      <c r="F432" s="13" t="inlineStr">
        <is>
          <t>system@tsip.ai</t>
        </is>
      </c>
      <c r="G432" s="13" t="inlineStr">
        <is>
          <t>f7e83778-a8c1-4c8a-a43a-f2c40548cdf6</t>
        </is>
      </c>
    </row>
    <row r="433">
      <c r="A433" s="13" t="inlineStr">
        <is>
          <t>f7e83778</t>
        </is>
      </c>
      <c r="B433" s="13" t="inlineStr">
        <is>
          <t>2026-09-01T14:59:03.132Z</t>
        </is>
      </c>
      <c r="C433" s="13" t="inlineStr">
        <is>
          <t>generating_outline</t>
        </is>
      </c>
      <c r="D433" s="13" t="inlineStr">
        <is>
          <t>decomp_review</t>
        </is>
      </c>
      <c r="E433" s="13" t="inlineStr">
        <is>
          <t>SUBMIT_TASK_OUTLINE</t>
        </is>
      </c>
      <c r="F433" s="13" t="inlineStr">
        <is>
          <t>system@tsip.ai</t>
        </is>
      </c>
      <c r="G433" s="13" t="inlineStr">
        <is>
          <t>f7e83778-a8c1-4c8a-a43a-f2c40548cdf6</t>
        </is>
      </c>
    </row>
    <row r="434">
      <c r="A434" s="13" t="inlineStr">
        <is>
          <t>f7e83778</t>
        </is>
      </c>
      <c r="B434" s="13" t="inlineStr">
        <is>
          <t>2026-09-01T21:57:04.556Z</t>
        </is>
      </c>
      <c r="C434" s="13" t="inlineStr">
        <is>
          <t>decomp_review</t>
        </is>
      </c>
      <c r="D434" s="13" t="inlineStr">
        <is>
          <t>generating_outline</t>
        </is>
      </c>
      <c r="E434" s="13" t="inlineStr">
        <is>
          <t>ADMIN_OVERRIDE</t>
        </is>
      </c>
      <c r="F434" s="13" t="inlineStr">
        <is>
          <t>ali@meridian.ai</t>
        </is>
      </c>
      <c r="G434" s="13" t="inlineStr">
        <is>
          <t>f7e83778-a8c1-4c8a-a43a-f2c40548cdf6</t>
        </is>
      </c>
    </row>
    <row r="435">
      <c r="A435" s="13" t="inlineStr">
        <is>
          <t>f7e83778</t>
        </is>
      </c>
      <c r="B435" s="13" t="inlineStr">
        <is>
          <t>2026-09-01T22:00:12.653Z</t>
        </is>
      </c>
      <c r="C435" s="13" t="inlineStr">
        <is>
          <t>generating_outline</t>
        </is>
      </c>
      <c r="D435" s="13" t="inlineStr">
        <is>
          <t>generating_outline</t>
        </is>
      </c>
      <c r="E435" s="13" t="inlineStr">
        <is>
          <t>FIELDS_WRITE</t>
        </is>
      </c>
      <c r="F435" s="13" t="inlineStr">
        <is>
          <t>system@tsip.ai</t>
        </is>
      </c>
      <c r="G435" s="13" t="inlineStr">
        <is>
          <t>f7e83778-a8c1-4c8a-a43a-f2c40548cdf6</t>
        </is>
      </c>
    </row>
    <row r="436">
      <c r="A436" s="13" t="inlineStr">
        <is>
          <t>f7e83778</t>
        </is>
      </c>
      <c r="B436" s="13" t="inlineStr">
        <is>
          <t>2026-09-01T22:00:14.058Z</t>
        </is>
      </c>
      <c r="C436" s="13" t="inlineStr">
        <is>
          <t>generating_outline</t>
        </is>
      </c>
      <c r="D436" s="13" t="inlineStr">
        <is>
          <t>decomp_review</t>
        </is>
      </c>
      <c r="E436" s="13" t="inlineStr">
        <is>
          <t>SUBMIT_TASK_OUTLINE</t>
        </is>
      </c>
      <c r="F436" s="13" t="inlineStr">
        <is>
          <t>system@tsip.ai</t>
        </is>
      </c>
      <c r="G436" s="13" t="inlineStr">
        <is>
          <t>f7e83778-a8c1-4c8a-a43a-f2c40548cdf6</t>
        </is>
      </c>
    </row>
    <row r="437">
      <c r="A437" s="13" t="inlineStr">
        <is>
          <t>f925d988</t>
        </is>
      </c>
      <c r="B437" s="13" t="inlineStr">
        <is>
          <t>2026-09-01T15:30:06.483Z</t>
        </is>
      </c>
      <c r="C437" s="13" t="inlineStr">
        <is>
          <t>NONE</t>
        </is>
      </c>
      <c r="D437" s="13" t="inlineStr">
        <is>
          <t>needs_decomp</t>
        </is>
      </c>
      <c r="E437" s="13" t="inlineStr">
        <is>
          <t>SPAWNED</t>
        </is>
      </c>
      <c r="F437" s="13" t="inlineStr">
        <is>
          <t>system@tsip.ai</t>
        </is>
      </c>
      <c r="G437" s="13" t="inlineStr">
        <is>
          <t>f925d988-87c3-4cb0-a396-b583b2949382</t>
        </is>
      </c>
    </row>
    <row r="438">
      <c r="A438" s="13" t="inlineStr">
        <is>
          <t>f925d988</t>
        </is>
      </c>
      <c r="B438" s="13" t="inlineStr">
        <is>
          <t>2026-09-01T15:32:05.944Z</t>
        </is>
      </c>
      <c r="C438" s="13" t="inlineStr">
        <is>
          <t>needs_decomp</t>
        </is>
      </c>
      <c r="D438" s="13" t="inlineStr">
        <is>
          <t>needs_decomp</t>
        </is>
      </c>
      <c r="E438" s="13" t="inlineStr">
        <is>
          <t>AUTO_POOL</t>
        </is>
      </c>
      <c r="F438" s="13" t="inlineStr">
        <is>
          <t>apathy@uchicago.edu</t>
        </is>
      </c>
      <c r="G438" s="13" t="inlineStr">
        <is>
          <t>f925d988-87c3-4cb0-a396-b583b2949382</t>
        </is>
      </c>
    </row>
    <row r="439">
      <c r="A439" s="13" t="inlineStr">
        <is>
          <t>f925d988</t>
        </is>
      </c>
      <c r="B439" s="13" t="inlineStr">
        <is>
          <t>2026-09-01T15:32:06.015Z</t>
        </is>
      </c>
      <c r="C439" s="13" t="inlineStr">
        <is>
          <t>needs_decomp</t>
        </is>
      </c>
      <c r="D439" s="13" t="inlineStr">
        <is>
          <t>decomp_complexity_check</t>
        </is>
      </c>
      <c r="E439" s="13" t="inlineStr">
        <is>
          <t>SUBMIT_DECOMP</t>
        </is>
      </c>
      <c r="F439" s="13" t="inlineStr">
        <is>
          <t>apathy@uchicago.edu</t>
        </is>
      </c>
      <c r="G439" s="13" t="inlineStr">
        <is>
          <t>f925d988-87c3-4cb0-a396-b583b2949382</t>
        </is>
      </c>
    </row>
    <row r="440">
      <c r="A440" s="13" t="inlineStr">
        <is>
          <t>f925d988</t>
        </is>
      </c>
      <c r="B440" s="13" t="inlineStr">
        <is>
          <t>2026-09-01T15:32:16.402Z</t>
        </is>
      </c>
      <c r="C440" s="13" t="inlineStr">
        <is>
          <t>decomp_complexity_check</t>
        </is>
      </c>
      <c r="D440" s="13" t="inlineStr">
        <is>
          <t>decomp_complexity_check</t>
        </is>
      </c>
      <c r="E440" s="13" t="inlineStr">
        <is>
          <t>FIELDS_WRITE</t>
        </is>
      </c>
      <c r="F440" s="13" t="inlineStr">
        <is>
          <t>system@tsip.ai</t>
        </is>
      </c>
      <c r="G440" s="13" t="inlineStr">
        <is>
          <t>f925d988-87c3-4cb0-a396-b583b2949382</t>
        </is>
      </c>
    </row>
    <row r="441">
      <c r="A441" s="13" t="inlineStr">
        <is>
          <t>f925d988</t>
        </is>
      </c>
      <c r="B441" s="13" t="inlineStr">
        <is>
          <t>2026-09-01T15:32:18.2Z</t>
        </is>
      </c>
      <c r="C441" s="13" t="inlineStr">
        <is>
          <t>decomp_complexity_check</t>
        </is>
      </c>
      <c r="D441" s="13" t="inlineStr">
        <is>
          <t>generating_outline</t>
        </is>
      </c>
      <c r="E441" s="13" t="inlineStr">
        <is>
          <t>COMPLEXITY_CHECK_DONE</t>
        </is>
      </c>
      <c r="F441" s="13" t="inlineStr">
        <is>
          <t>system@tsip.ai</t>
        </is>
      </c>
      <c r="G441" s="13" t="inlineStr">
        <is>
          <t>f925d988-87c3-4cb0-a396-b583b2949382</t>
        </is>
      </c>
    </row>
    <row r="442">
      <c r="A442" s="13" t="inlineStr">
        <is>
          <t>f925d988</t>
        </is>
      </c>
      <c r="B442" s="13" t="inlineStr">
        <is>
          <t>2026-09-01T15:36:59.727Z</t>
        </is>
      </c>
      <c r="C442" s="13" t="inlineStr">
        <is>
          <t>generating_outline</t>
        </is>
      </c>
      <c r="D442" s="13" t="inlineStr">
        <is>
          <t>generating_outline</t>
        </is>
      </c>
      <c r="E442" s="13" t="inlineStr">
        <is>
          <t>FIELDS_WRITE</t>
        </is>
      </c>
      <c r="F442" s="13" t="inlineStr">
        <is>
          <t>system@tsip.ai</t>
        </is>
      </c>
      <c r="G442" s="13" t="inlineStr">
        <is>
          <t>f925d988-87c3-4cb0-a396-b583b2949382</t>
        </is>
      </c>
    </row>
    <row r="443">
      <c r="A443" s="13" t="inlineStr">
        <is>
          <t>f925d988</t>
        </is>
      </c>
      <c r="B443" s="13" t="inlineStr">
        <is>
          <t>2026-09-01T15:37:00.888Z</t>
        </is>
      </c>
      <c r="C443" s="13" t="inlineStr">
        <is>
          <t>generating_outline</t>
        </is>
      </c>
      <c r="D443" s="13" t="inlineStr">
        <is>
          <t>decomp_review</t>
        </is>
      </c>
      <c r="E443" s="13" t="inlineStr">
        <is>
          <t>SUBMIT_TASK_OUTLINE</t>
        </is>
      </c>
      <c r="F443" s="13" t="inlineStr">
        <is>
          <t>system@tsip.ai</t>
        </is>
      </c>
      <c r="G443" s="13" t="inlineStr">
        <is>
          <t>f925d988-87c3-4cb0-a396-b583b2949382</t>
        </is>
      </c>
    </row>
    <row r="444">
      <c r="A444" s="13" t="inlineStr">
        <is>
          <t>f925d988</t>
        </is>
      </c>
      <c r="B444" s="13" t="inlineStr">
        <is>
          <t>2026-09-01T22:55:47.222Z</t>
        </is>
      </c>
      <c r="C444" s="13" t="inlineStr">
        <is>
          <t>decomp_review</t>
        </is>
      </c>
      <c r="D444" s="13" t="inlineStr">
        <is>
          <t>generating_outline</t>
        </is>
      </c>
      <c r="E444" s="13" t="inlineStr">
        <is>
          <t>ADMIN_OVERRIDE</t>
        </is>
      </c>
      <c r="F444" s="13" t="inlineStr">
        <is>
          <t>ali@meridian.ai</t>
        </is>
      </c>
      <c r="G444" s="13" t="inlineStr">
        <is>
          <t>f925d988-87c3-4cb0-a396-b583b2949382</t>
        </is>
      </c>
    </row>
    <row r="445">
      <c r="A445" s="13" t="inlineStr">
        <is>
          <t>f925d988</t>
        </is>
      </c>
      <c r="B445" s="13" t="inlineStr">
        <is>
          <t>2026-09-01T22:59:21.53Z</t>
        </is>
      </c>
      <c r="C445" s="13" t="inlineStr">
        <is>
          <t>generating_outline</t>
        </is>
      </c>
      <c r="D445" s="13" t="inlineStr">
        <is>
          <t>failed_generating_outline</t>
        </is>
      </c>
      <c r="E445" s="13" t="inlineStr">
        <is>
          <t>TASK_OUTLINE_FAILED</t>
        </is>
      </c>
      <c r="F445" s="13" t="inlineStr">
        <is>
          <t>system@tsip.ai</t>
        </is>
      </c>
      <c r="G445" s="13" t="inlineStr">
        <is>
          <t>f925d988-87c3-4cb0-a396-b583b2949382</t>
        </is>
      </c>
    </row>
    <row r="446">
      <c r="A446" s="13" t="inlineStr">
        <is>
          <t>f925d988</t>
        </is>
      </c>
      <c r="B446" s="13" t="inlineStr">
        <is>
          <t>2026-09-02T00:02:18.769Z</t>
        </is>
      </c>
      <c r="C446" s="13" t="inlineStr">
        <is>
          <t>failed_generating_outline</t>
        </is>
      </c>
      <c r="D446" s="13" t="inlineStr">
        <is>
          <t>generating_outline</t>
        </is>
      </c>
      <c r="E446" s="13" t="inlineStr">
        <is>
          <t>ADMIN_OVERRIDE</t>
        </is>
      </c>
      <c r="F446" s="13" t="inlineStr">
        <is>
          <t>ali@meridian.ai</t>
        </is>
      </c>
      <c r="G446" s="13" t="inlineStr">
        <is>
          <t>f925d988-87c3-4cb0-a396-b583b2949382</t>
        </is>
      </c>
    </row>
    <row r="447">
      <c r="A447" s="13" t="inlineStr">
        <is>
          <t>f925d988</t>
        </is>
      </c>
      <c r="B447" s="13" t="inlineStr">
        <is>
          <t>2026-09-02T00:06:14.675Z</t>
        </is>
      </c>
      <c r="C447" s="13" t="inlineStr">
        <is>
          <t>generating_outline</t>
        </is>
      </c>
      <c r="D447" s="13" t="inlineStr">
        <is>
          <t>generating_outline</t>
        </is>
      </c>
      <c r="E447" s="13" t="inlineStr">
        <is>
          <t>FIELDS_WRITE</t>
        </is>
      </c>
      <c r="F447" s="13" t="inlineStr">
        <is>
          <t>system@tsip.ai</t>
        </is>
      </c>
      <c r="G447" s="13" t="inlineStr">
        <is>
          <t>f925d988-87c3-4cb0-a396-b583b2949382</t>
        </is>
      </c>
    </row>
    <row r="448">
      <c r="A448" s="13" t="inlineStr">
        <is>
          <t>f925d988</t>
        </is>
      </c>
      <c r="B448" s="13" t="inlineStr">
        <is>
          <t>2026-09-02T00:06:15.847Z</t>
        </is>
      </c>
      <c r="C448" s="13" t="inlineStr">
        <is>
          <t>generating_outline</t>
        </is>
      </c>
      <c r="D448" s="13" t="inlineStr">
        <is>
          <t>decomp_review</t>
        </is>
      </c>
      <c r="E448" s="13" t="inlineStr">
        <is>
          <t>SUBMIT_TASK_OUTLINE</t>
        </is>
      </c>
      <c r="F448" s="13" t="inlineStr">
        <is>
          <t>system@tsip.ai</t>
        </is>
      </c>
      <c r="G448" s="13" t="inlineStr">
        <is>
          <t>f925d988-87c3-4cb0-a396-b583b2949382</t>
        </is>
      </c>
    </row>
    <row r="449">
      <c r="A449" s="13" t="inlineStr">
        <is>
          <t>fa5950c9</t>
        </is>
      </c>
      <c r="B449" s="13" t="inlineStr">
        <is>
          <t>2026-08-31T01:27:16.693Z</t>
        </is>
      </c>
      <c r="C449" s="13" t="inlineStr">
        <is>
          <t>NONE</t>
        </is>
      </c>
      <c r="D449" s="13" t="inlineStr">
        <is>
          <t>needs_decomp</t>
        </is>
      </c>
      <c r="E449" s="13" t="inlineStr">
        <is>
          <t>CLONED</t>
        </is>
      </c>
      <c r="F449" s="13" t="inlineStr">
        <is>
          <t>system@tsip.ai</t>
        </is>
      </c>
      <c r="G449" s="13" t="inlineStr">
        <is>
          <t>fa5950c9-4c71-4406-83bf-8fd81fc6ff67</t>
        </is>
      </c>
    </row>
    <row r="450">
      <c r="A450" s="13" t="inlineStr">
        <is>
          <t>fa5950c9</t>
        </is>
      </c>
      <c r="B450" s="13" t="inlineStr">
        <is>
          <t>2026-08-31T01:27:23.615Z</t>
        </is>
      </c>
      <c r="C450" s="13" t="inlineStr">
        <is>
          <t>needs_decomp</t>
        </is>
      </c>
      <c r="D450" s="13" t="inlineStr">
        <is>
          <t>needs_decomp</t>
        </is>
      </c>
      <c r="E450" s="13" t="inlineStr">
        <is>
          <t>POOL_CLAIM</t>
        </is>
      </c>
      <c r="F450" s="13" t="inlineStr">
        <is>
          <t>wangche2532@gmail.com</t>
        </is>
      </c>
      <c r="G450" s="13" t="inlineStr">
        <is>
          <t>fa5950c9-4c71-4406-83bf-8fd81fc6ff67</t>
        </is>
      </c>
    </row>
    <row r="451">
      <c r="A451" s="13" t="inlineStr">
        <is>
          <t>fa5950c9</t>
        </is>
      </c>
      <c r="B451" s="13" t="inlineStr">
        <is>
          <t>2026-08-31T20:12:35.014Z</t>
        </is>
      </c>
      <c r="C451" s="13" t="inlineStr">
        <is>
          <t>needs_decomp</t>
        </is>
      </c>
      <c r="D451" s="13" t="inlineStr">
        <is>
          <t>needs_decomp</t>
        </is>
      </c>
      <c r="E451" s="13" t="inlineStr">
        <is>
          <t>AUTO_POOL</t>
        </is>
      </c>
      <c r="F451" s="13" t="inlineStr">
        <is>
          <t>wangche2532@gmail.com</t>
        </is>
      </c>
      <c r="G451" s="13" t="inlineStr">
        <is>
          <t>fa5950c9-4c71-4406-83bf-8fd81fc6ff67</t>
        </is>
      </c>
    </row>
    <row r="452">
      <c r="A452" s="13" t="inlineStr">
        <is>
          <t>fa5950c9</t>
        </is>
      </c>
      <c r="B452" s="13" t="inlineStr">
        <is>
          <t>2026-08-31T20:12:35.049Z</t>
        </is>
      </c>
      <c r="C452" s="13" t="inlineStr">
        <is>
          <t>needs_decomp</t>
        </is>
      </c>
      <c r="D452" s="13" t="inlineStr">
        <is>
          <t>decomp_complexity_check</t>
        </is>
      </c>
      <c r="E452" s="13" t="inlineStr">
        <is>
          <t>SUBMIT_DECOMP</t>
        </is>
      </c>
      <c r="F452" s="13" t="inlineStr">
        <is>
          <t>wangche2532@gmail.com</t>
        </is>
      </c>
      <c r="G452" s="13" t="inlineStr">
        <is>
          <t>fa5950c9-4c71-4406-83bf-8fd81fc6ff67</t>
        </is>
      </c>
    </row>
    <row r="453">
      <c r="A453" s="13" t="inlineStr">
        <is>
          <t>fa5950c9</t>
        </is>
      </c>
      <c r="B453" s="13" t="inlineStr">
        <is>
          <t>2026-08-31T20:12:50.724Z</t>
        </is>
      </c>
      <c r="C453" s="13" t="inlineStr">
        <is>
          <t>decomp_complexity_check</t>
        </is>
      </c>
      <c r="D453" s="13" t="inlineStr">
        <is>
          <t>decomp_complexity_check</t>
        </is>
      </c>
      <c r="E453" s="13" t="inlineStr">
        <is>
          <t>FIELDS_WRITE</t>
        </is>
      </c>
      <c r="F453" s="13" t="inlineStr">
        <is>
          <t>system@tsip.ai</t>
        </is>
      </c>
      <c r="G453" s="13" t="inlineStr">
        <is>
          <t>fa5950c9-4c71-4406-83bf-8fd81fc6ff67</t>
        </is>
      </c>
    </row>
    <row r="454">
      <c r="A454" s="13" t="inlineStr">
        <is>
          <t>fa5950c9</t>
        </is>
      </c>
      <c r="B454" s="13" t="inlineStr">
        <is>
          <t>2026-08-31T20:12:51.668Z</t>
        </is>
      </c>
      <c r="C454" s="13" t="inlineStr">
        <is>
          <t>decomp_complexity_check</t>
        </is>
      </c>
      <c r="D454" s="13" t="inlineStr">
        <is>
          <t>generating_outline</t>
        </is>
      </c>
      <c r="E454" s="13" t="inlineStr">
        <is>
          <t>COMPLEXITY_CHECK_DONE</t>
        </is>
      </c>
      <c r="F454" s="13" t="inlineStr">
        <is>
          <t>system@tsip.ai</t>
        </is>
      </c>
      <c r="G454" s="13" t="inlineStr">
        <is>
          <t>fa5950c9-4c71-4406-83bf-8fd81fc6ff67</t>
        </is>
      </c>
    </row>
    <row r="455">
      <c r="A455" s="13" t="inlineStr">
        <is>
          <t>fa5950c9</t>
        </is>
      </c>
      <c r="B455" s="13" t="inlineStr">
        <is>
          <t>2026-08-31T20:15:16.777Z</t>
        </is>
      </c>
      <c r="C455" s="13" t="inlineStr">
        <is>
          <t>generating_outline</t>
        </is>
      </c>
      <c r="D455" s="13" t="inlineStr">
        <is>
          <t>generating_outline</t>
        </is>
      </c>
      <c r="E455" s="13" t="inlineStr">
        <is>
          <t>FIELDS_WRITE</t>
        </is>
      </c>
      <c r="F455" s="13" t="inlineStr">
        <is>
          <t>system@tsip.ai</t>
        </is>
      </c>
      <c r="G455" s="13" t="inlineStr">
        <is>
          <t>fa5950c9-4c71-4406-83bf-8fd81fc6ff67</t>
        </is>
      </c>
    </row>
    <row r="456">
      <c r="A456" s="13" t="inlineStr">
        <is>
          <t>fa5950c9</t>
        </is>
      </c>
      <c r="B456" s="13" t="inlineStr">
        <is>
          <t>2026-08-31T20:15:18.303Z</t>
        </is>
      </c>
      <c r="C456" s="13" t="inlineStr">
        <is>
          <t>generating_outline</t>
        </is>
      </c>
      <c r="D456" s="13" t="inlineStr">
        <is>
          <t>decomp_review</t>
        </is>
      </c>
      <c r="E456" s="13" t="inlineStr">
        <is>
          <t>SUBMIT_TASK_OUTLINE</t>
        </is>
      </c>
      <c r="F456" s="13" t="inlineStr">
        <is>
          <t>system@tsip.ai</t>
        </is>
      </c>
      <c r="G456" s="13" t="inlineStr">
        <is>
          <t>fa5950c9-4c71-4406-83bf-8fd81fc6ff67</t>
        </is>
      </c>
    </row>
    <row r="457">
      <c r="A457" s="13" t="inlineStr">
        <is>
          <t>fa5950c9</t>
        </is>
      </c>
      <c r="B457" s="13" t="inlineStr">
        <is>
          <t>2026-09-01T22:55:47.359Z</t>
        </is>
      </c>
      <c r="C457" s="13" t="inlineStr">
        <is>
          <t>decomp_review</t>
        </is>
      </c>
      <c r="D457" s="13" t="inlineStr">
        <is>
          <t>generating_outline</t>
        </is>
      </c>
      <c r="E457" s="13" t="inlineStr">
        <is>
          <t>ADMIN_OVERRIDE</t>
        </is>
      </c>
      <c r="F457" s="13" t="inlineStr">
        <is>
          <t>ali@meridian.ai</t>
        </is>
      </c>
      <c r="G457" s="13" t="inlineStr">
        <is>
          <t>fa5950c9-4c71-4406-83bf-8fd81fc6ff67</t>
        </is>
      </c>
    </row>
    <row r="458">
      <c r="A458" s="13" t="inlineStr">
        <is>
          <t>fa5950c9</t>
        </is>
      </c>
      <c r="B458" s="13" t="inlineStr">
        <is>
          <t>2026-09-01T22:59:30.039Z</t>
        </is>
      </c>
      <c r="C458" s="13" t="inlineStr">
        <is>
          <t>generating_outline</t>
        </is>
      </c>
      <c r="D458" s="13" t="inlineStr">
        <is>
          <t>generating_outline</t>
        </is>
      </c>
      <c r="E458" s="13" t="inlineStr">
        <is>
          <t>FIELDS_WRITE</t>
        </is>
      </c>
      <c r="F458" s="13" t="inlineStr">
        <is>
          <t>system@tsip.ai</t>
        </is>
      </c>
      <c r="G458" s="13" t="inlineStr">
        <is>
          <t>fa5950c9-4c71-4406-83bf-8fd81fc6ff67</t>
        </is>
      </c>
    </row>
    <row r="459">
      <c r="A459" s="13" t="inlineStr">
        <is>
          <t>fa5950c9</t>
        </is>
      </c>
      <c r="B459" s="13" t="inlineStr">
        <is>
          <t>2026-09-01T22:59:31.287Z</t>
        </is>
      </c>
      <c r="C459" s="13" t="inlineStr">
        <is>
          <t>generating_outline</t>
        </is>
      </c>
      <c r="D459" s="13" t="inlineStr">
        <is>
          <t>decomp_review</t>
        </is>
      </c>
      <c r="E459" s="13" t="inlineStr">
        <is>
          <t>SUBMIT_TASK_OUTLINE</t>
        </is>
      </c>
      <c r="F459" s="13" t="inlineStr">
        <is>
          <t>system@tsip.ai</t>
        </is>
      </c>
      <c r="G459" s="13" t="inlineStr">
        <is>
          <t>fa5950c9-4c71-4406-83bf-8fd81fc6ff67</t>
        </is>
      </c>
    </row>
    <row r="460">
      <c r="A460" s="13" t="inlineStr">
        <is>
          <t>fdfd6024</t>
        </is>
      </c>
      <c r="B460" s="13" t="inlineStr">
        <is>
          <t>2026-09-01T23:18:08.256Z</t>
        </is>
      </c>
      <c r="C460" s="13" t="inlineStr">
        <is>
          <t>NONE</t>
        </is>
      </c>
      <c r="D460" s="13" t="inlineStr">
        <is>
          <t>needs_decomp</t>
        </is>
      </c>
      <c r="E460" s="13" t="inlineStr">
        <is>
          <t>SPAWNED</t>
        </is>
      </c>
      <c r="F460" s="13" t="inlineStr">
        <is>
          <t>system@tsip.ai</t>
        </is>
      </c>
      <c r="G460" s="13" t="inlineStr">
        <is>
          <t>fdfd6024-51d6-49c8-93c8-39d033b1bd8d</t>
        </is>
      </c>
    </row>
    <row r="461">
      <c r="A461" s="13" t="inlineStr">
        <is>
          <t>fdfd6024</t>
        </is>
      </c>
      <c r="B461" s="13" t="inlineStr">
        <is>
          <t>2026-09-01T23:18:44.602Z</t>
        </is>
      </c>
      <c r="C461" s="13" t="inlineStr">
        <is>
          <t>needs_decomp</t>
        </is>
      </c>
      <c r="D461" s="13" t="inlineStr">
        <is>
          <t>needs_decomp</t>
        </is>
      </c>
      <c r="E461" s="13" t="inlineStr">
        <is>
          <t>AUTO_POOL</t>
        </is>
      </c>
      <c r="F461" s="13" t="inlineStr">
        <is>
          <t>mshuriah2702@gmail.com</t>
        </is>
      </c>
      <c r="G461" s="13" t="inlineStr">
        <is>
          <t>fdfd6024-51d6-49c8-93c8-39d033b1bd8d</t>
        </is>
      </c>
    </row>
    <row r="462">
      <c r="A462" s="13" t="inlineStr">
        <is>
          <t>fdfd6024</t>
        </is>
      </c>
      <c r="B462" s="13" t="inlineStr">
        <is>
          <t>2026-09-01T23:18:44.656Z</t>
        </is>
      </c>
      <c r="C462" s="13" t="inlineStr">
        <is>
          <t>needs_decomp</t>
        </is>
      </c>
      <c r="D462" s="13" t="inlineStr">
        <is>
          <t>decomp_complexity_check</t>
        </is>
      </c>
      <c r="E462" s="13" t="inlineStr">
        <is>
          <t>SUBMIT_DECOMP</t>
        </is>
      </c>
      <c r="F462" s="13" t="inlineStr">
        <is>
          <t>mshuriah2702@gmail.com</t>
        </is>
      </c>
      <c r="G462" s="13" t="inlineStr">
        <is>
          <t>fdfd6024-51d6-49c8-93c8-39d033b1bd8d</t>
        </is>
      </c>
    </row>
    <row r="463">
      <c r="A463" s="13" t="inlineStr">
        <is>
          <t>fdfd6024</t>
        </is>
      </c>
      <c r="B463" s="13" t="inlineStr">
        <is>
          <t>2026-09-01T23:18:54.233Z</t>
        </is>
      </c>
      <c r="C463" s="13" t="inlineStr">
        <is>
          <t>decomp_complexity_check</t>
        </is>
      </c>
      <c r="D463" s="13" t="inlineStr">
        <is>
          <t>decomp_complexity_check</t>
        </is>
      </c>
      <c r="E463" s="13" t="inlineStr">
        <is>
          <t>FIELDS_WRITE</t>
        </is>
      </c>
      <c r="F463" s="13" t="inlineStr">
        <is>
          <t>system@tsip.ai</t>
        </is>
      </c>
      <c r="G463" s="13" t="inlineStr">
        <is>
          <t>fdfd6024-51d6-49c8-93c8-39d033b1bd8d</t>
        </is>
      </c>
    </row>
    <row r="464">
      <c r="A464" s="13" t="inlineStr">
        <is>
          <t>fdfd6024</t>
        </is>
      </c>
      <c r="B464" s="13" t="inlineStr">
        <is>
          <t>2026-09-01T23:18:55.476Z</t>
        </is>
      </c>
      <c r="C464" s="13" t="inlineStr">
        <is>
          <t>decomp_complexity_check</t>
        </is>
      </c>
      <c r="D464" s="13" t="inlineStr">
        <is>
          <t>generating_outline</t>
        </is>
      </c>
      <c r="E464" s="13" t="inlineStr">
        <is>
          <t>COMPLEXITY_CHECK_DONE</t>
        </is>
      </c>
      <c r="F464" s="13" t="inlineStr">
        <is>
          <t>system@tsip.ai</t>
        </is>
      </c>
      <c r="G464" s="13" t="inlineStr">
        <is>
          <t>fdfd6024-51d6-49c8-93c8-39d033b1bd8d</t>
        </is>
      </c>
    </row>
    <row r="465">
      <c r="A465" s="13" t="inlineStr">
        <is>
          <t>fdfd6024</t>
        </is>
      </c>
      <c r="B465" s="13" t="inlineStr">
        <is>
          <t>2026-09-01T23:20:58.805Z</t>
        </is>
      </c>
      <c r="C465" s="13" t="inlineStr">
        <is>
          <t>generating_outline</t>
        </is>
      </c>
      <c r="D465" s="13" t="inlineStr">
        <is>
          <t>generating_outline</t>
        </is>
      </c>
      <c r="E465" s="13" t="inlineStr">
        <is>
          <t>FIELDS_WRITE</t>
        </is>
      </c>
      <c r="F465" s="13" t="inlineStr">
        <is>
          <t>system@tsip.ai</t>
        </is>
      </c>
      <c r="G465" s="13" t="inlineStr">
        <is>
          <t>fdfd6024-51d6-49c8-93c8-39d033b1bd8d</t>
        </is>
      </c>
    </row>
    <row r="466">
      <c r="A466" s="13" t="inlineStr">
        <is>
          <t>fdfd6024</t>
        </is>
      </c>
      <c r="B466" s="13" t="inlineStr">
        <is>
          <t>2026-09-01T23:21:00.955Z</t>
        </is>
      </c>
      <c r="C466" s="13" t="inlineStr">
        <is>
          <t>generating_outline</t>
        </is>
      </c>
      <c r="D466" s="13" t="inlineStr">
        <is>
          <t>decomp_review</t>
        </is>
      </c>
      <c r="E466" s="13" t="inlineStr">
        <is>
          <t>SUBMIT_TASK_OUTLINE</t>
        </is>
      </c>
      <c r="F466" s="13" t="inlineStr">
        <is>
          <t>system@tsip.ai</t>
        </is>
      </c>
      <c r="G466" s="13" t="inlineStr">
        <is>
          <t>fdfd6024-51d6-49c8-93c8-39d033b1bd8d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60" customWidth="1" min="1" max="1"/>
  </cols>
  <sheetData>
    <row r="1">
      <c r="A1" s="22" t="inlineStr">
        <is>
          <t>How this was built</t>
        </is>
      </c>
    </row>
    <row r="2">
      <c r="A2" s="12" t="inlineStr">
        <is>
          <t>1. Queue: tsip_tasks joined to tsip_project_versions, project_id = sheets, status = decomp_review, archived_at is null. 45 rows at 23:40 UTC on 2026-09-01.</t>
        </is>
      </c>
    </row>
    <row r="3">
      <c r="A3" s="12" t="inlineStr">
        <is>
          <t>2. Outline, transition description and unique-formula count come from the latest tsip_attempts row per task (metadata.task_outline, transition_description, decomp_unique_formula_count).</t>
        </is>
      </c>
    </row>
    <row r="4">
      <c r="A4" s="12" t="inlineStr">
        <is>
          <t>3. Input/output workbook pair comes from tsip_attempts.messages annotated field_id = input_workbook / output_workbook, joined to tsip_files for name, size and content hash.</t>
        </is>
      </c>
    </row>
    <row r="5">
      <c r="A5" s="12" t="inlineStr">
        <is>
          <t>4. Agent runs are tsip_model_run_progress rows with job_type = modal_claude_agent. Under 10,000 input tokens = empty context (the two populations are ~5.4k and &gt;=60k with nothing between).</t>
        </is>
      </c>
    </row>
    <row r="6">
      <c r="A6" s="12" t="inlineStr">
        <is>
          <t>5. History is tsip_state_transitions per task; the human decomper is the SUBMIT_DECOMP actor, admin overrides are ADMIN_OVERRIDE events.</t>
        </is>
      </c>
    </row>
    <row r="7">
      <c r="A7" s="12" t="inlineStr">
        <is>
          <t>6. "Bucket in 09-01 triage" is the bucket each task had in decomp/decomp_review_triage.csv earlier today (A1 no outline, A2 looping, B thin, C truncated, D thin transition).</t>
        </is>
      </c>
    </row>
    <row r="8">
      <c r="A8" s="12" t="inlineStr">
        <is>
          <t>7. Diagnosis and quality flags: I read all 39 stored outlines end to end. Flags are limited to generator noise (summary bullets above the build steps), stray fragments, and low-formula mechanical builds.</t>
        </is>
      </c>
    </row>
    <row r="9">
      <c r="A9" s="12" t="inlineStr">
        <is>
          <t>8. Decomper too-easy prior is hardcoded from decomp/sota_priors.md (60-day SOTA outcomes). It is a prior, not a verdict on any single task.</t>
        </is>
      </c>
    </row>
    <row r="10">
      <c r="A10" s="12" t="inlineStr"/>
    </row>
    <row r="11">
      <c r="A11" s="22" t="inlineStr">
        <is>
          <t>Reading the recommendation</t>
        </is>
      </c>
    </row>
    <row r="12">
      <c r="A12" s="12" t="inlineStr">
        <is>
          <t>APPROVE: outline present and coherent. Send to generating_prompt. Release in batches of about 20; releasing 133 at once earlier today produced a 10.5% prompt-generation failure rate.</t>
        </is>
      </c>
    </row>
    <row r="13">
      <c r="A13" s="12" t="inlineStr">
        <is>
          <t>Regenerate: small workbook that failed twice. One more attempt is cheap.</t>
        </is>
      </c>
    </row>
    <row r="14">
      <c r="A14" s="12" t="inlineStr">
        <is>
          <t>HOLD: workbook over 4MB, failed every attempt, and no &gt;4MB task in this queue has ever loaded. Re-running burns a slot and returns another empty outline. Needs an engineering fix to the outline agent (workbook ingestion / size limit) or a hand-written outline.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2026-09-02T00:18:57Z</dcterms:created>
  <dcterms:modified xsi:type="dcterms:W3CDTF">2026-09-02T00:18:58Z</dcterms:modified>
</cp:coreProperties>
</file>